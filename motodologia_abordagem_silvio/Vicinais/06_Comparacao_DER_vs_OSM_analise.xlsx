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TUDO_VICINAIS_V2\motodologia_abordagem_silvio\Vicinais\"/>
    </mc:Choice>
  </mc:AlternateContent>
  <xr:revisionPtr revIDLastSave="0" documentId="13_ncr:1_{79CBBB71-DE0A-46B2-A93A-9ED4B2EA3B8A}" xr6:coauthVersionLast="47" xr6:coauthVersionMax="47" xr10:uidLastSave="{00000000-0000-0000-0000-000000000000}"/>
  <bookViews>
    <workbookView xWindow="3980" yWindow="3980" windowWidth="19200" windowHeight="11170" xr2:uid="{00000000-000D-0000-FFFF-FFFF00000000}"/>
  </bookViews>
  <sheets>
    <sheet name="DER_vs_OS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1" l="1"/>
  <c r="X22" i="1"/>
  <c r="W22" i="1"/>
  <c r="X21" i="1"/>
  <c r="W21" i="1"/>
  <c r="X20" i="1"/>
  <c r="W20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X4" i="1"/>
  <c r="W4" i="1"/>
  <c r="X3" i="1"/>
  <c r="W3" i="1"/>
  <c r="W2" i="1"/>
  <c r="X2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R17" i="1"/>
  <c r="Q17" i="1"/>
  <c r="P17" i="1"/>
  <c r="O17" i="1"/>
  <c r="N17" i="1"/>
  <c r="R16" i="1"/>
  <c r="Q16" i="1"/>
  <c r="P16" i="1"/>
  <c r="O16" i="1"/>
  <c r="N16" i="1"/>
  <c r="R15" i="1"/>
  <c r="Q15" i="1"/>
  <c r="P15" i="1"/>
  <c r="O15" i="1"/>
  <c r="N15" i="1"/>
  <c r="R14" i="1"/>
  <c r="Q14" i="1"/>
  <c r="P14" i="1"/>
  <c r="O14" i="1"/>
  <c r="N14" i="1"/>
  <c r="R13" i="1"/>
  <c r="Q13" i="1"/>
  <c r="P13" i="1"/>
  <c r="O13" i="1"/>
  <c r="N13" i="1"/>
  <c r="R12" i="1"/>
  <c r="Q12" i="1"/>
  <c r="P12" i="1"/>
  <c r="O12" i="1"/>
  <c r="N12" i="1"/>
  <c r="R11" i="1"/>
  <c r="Q11" i="1"/>
  <c r="P11" i="1"/>
  <c r="O11" i="1"/>
  <c r="N11" i="1"/>
  <c r="R10" i="1"/>
  <c r="Q10" i="1"/>
  <c r="P10" i="1"/>
  <c r="O10" i="1"/>
  <c r="N10" i="1"/>
  <c r="R9" i="1"/>
  <c r="Q9" i="1"/>
  <c r="P9" i="1"/>
  <c r="O9" i="1"/>
  <c r="N9" i="1"/>
  <c r="R8" i="1"/>
  <c r="Q8" i="1"/>
  <c r="P8" i="1"/>
  <c r="O8" i="1"/>
  <c r="N8" i="1"/>
  <c r="R7" i="1"/>
  <c r="Q7" i="1"/>
  <c r="P7" i="1"/>
  <c r="O7" i="1"/>
  <c r="N7" i="1"/>
  <c r="R6" i="1"/>
  <c r="Q6" i="1"/>
  <c r="P6" i="1"/>
  <c r="O6" i="1"/>
  <c r="N6" i="1"/>
  <c r="R5" i="1"/>
  <c r="Q5" i="1"/>
  <c r="P5" i="1"/>
  <c r="O5" i="1"/>
  <c r="N5" i="1"/>
  <c r="R4" i="1"/>
  <c r="Q4" i="1"/>
  <c r="P4" i="1"/>
  <c r="O4" i="1"/>
  <c r="N4" i="1"/>
  <c r="R3" i="1"/>
  <c r="Q3" i="1"/>
  <c r="P3" i="1"/>
  <c r="O3" i="1"/>
  <c r="N3" i="1"/>
  <c r="N18" i="1" s="1"/>
  <c r="R2" i="1"/>
  <c r="R18" i="1" s="1"/>
  <c r="P2" i="1"/>
  <c r="P18" i="1" s="1"/>
  <c r="Q2" i="1"/>
  <c r="Q18" i="1" s="1"/>
  <c r="O2" i="1"/>
  <c r="N2" i="1"/>
  <c r="O18" i="1" l="1"/>
</calcChain>
</file>

<file path=xl/sharedStrings.xml><?xml version="1.0" encoding="utf-8"?>
<sst xmlns="http://schemas.openxmlformats.org/spreadsheetml/2006/main" count="1336" uniqueCount="688">
  <si>
    <t>Cod_ibge</t>
  </si>
  <si>
    <t>Municipio</t>
  </si>
  <si>
    <t>GID_RA</t>
  </si>
  <si>
    <t>RA</t>
  </si>
  <si>
    <t>Area_Km2</t>
  </si>
  <si>
    <t>Vic_DER_metros</t>
  </si>
  <si>
    <t>Vic_DER_qtde</t>
  </si>
  <si>
    <t>Vic_OSM_metros</t>
  </si>
  <si>
    <t>Vic_OSM_qtde</t>
  </si>
  <si>
    <t>Adamantina</t>
  </si>
  <si>
    <t>RA de Presidente Prudente</t>
  </si>
  <si>
    <t>Adolfo</t>
  </si>
  <si>
    <t>RA de São José do Rio Preto</t>
  </si>
  <si>
    <t>Aguaí</t>
  </si>
  <si>
    <t>RA de Campinas</t>
  </si>
  <si>
    <t>Águas da Prata</t>
  </si>
  <si>
    <t>Águas de Lindóia</t>
  </si>
  <si>
    <t>Águas de Santa Bárbara</t>
  </si>
  <si>
    <t>RA de Sorocaba</t>
  </si>
  <si>
    <t>Águas de São Pedro</t>
  </si>
  <si>
    <t>Agudos</t>
  </si>
  <si>
    <t>RA de Bauru</t>
  </si>
  <si>
    <t>Alambari</t>
  </si>
  <si>
    <t>Alfredo Marcondes</t>
  </si>
  <si>
    <t>Altair</t>
  </si>
  <si>
    <t>RA de Barretos</t>
  </si>
  <si>
    <t>Altinópolis</t>
  </si>
  <si>
    <t>RA de Ribeirão Preto</t>
  </si>
  <si>
    <t>Alto Alegre</t>
  </si>
  <si>
    <t>RA de Araçatuba</t>
  </si>
  <si>
    <t>Alumínio</t>
  </si>
  <si>
    <t>Álvares Florence</t>
  </si>
  <si>
    <t>Álvares Machado</t>
  </si>
  <si>
    <t>Álvaro de Carvalho</t>
  </si>
  <si>
    <t>RA de Marília</t>
  </si>
  <si>
    <t>Alvinlândia</t>
  </si>
  <si>
    <t>Americana</t>
  </si>
  <si>
    <t>Américo Brasiliense</t>
  </si>
  <si>
    <t>RA Central</t>
  </si>
  <si>
    <t>Américo de Campos</t>
  </si>
  <si>
    <t>Amparo</t>
  </si>
  <si>
    <t>Analândia</t>
  </si>
  <si>
    <t>Andradina</t>
  </si>
  <si>
    <t>Angatuba</t>
  </si>
  <si>
    <t>RA de Itapeva</t>
  </si>
  <si>
    <t>Anhembi</t>
  </si>
  <si>
    <t>Anhumas</t>
  </si>
  <si>
    <t>Aparecida</t>
  </si>
  <si>
    <t>RA de São José dos Campos</t>
  </si>
  <si>
    <t>Aparecida d'Oeste</t>
  </si>
  <si>
    <t>Apiaí</t>
  </si>
  <si>
    <t>Araçariguama</t>
  </si>
  <si>
    <t>Araçatuba</t>
  </si>
  <si>
    <t>Araçoiaba da Serra</t>
  </si>
  <si>
    <t>Aramina</t>
  </si>
  <si>
    <t>RA de Franca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</si>
  <si>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</si>
  <si>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</si>
  <si>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</si>
  <si>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</si>
  <si>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</si>
  <si>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</si>
  <si>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</si>
  <si>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</si>
  <si>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</si>
  <si>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</si>
  <si>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</si>
  <si>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Região Metropolitana de São Paulo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</si>
  <si>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</si>
  <si>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</si>
  <si>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</si>
  <si>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</si>
  <si>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</si>
  <si>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</si>
  <si>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</si>
  <si>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</si>
  <si>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</si>
  <si>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</si>
  <si>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</si>
  <si>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</si>
  <si>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</si>
  <si>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</si>
  <si>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</si>
  <si>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</si>
  <si>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</si>
  <si>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RA de Registro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</si>
  <si>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</si>
  <si>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</si>
  <si>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</si>
  <si>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</si>
  <si>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</si>
  <si>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</si>
  <si>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</si>
  <si>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</si>
  <si>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</si>
  <si>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</si>
  <si>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RA de Santos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</si>
  <si>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</si>
  <si>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</si>
  <si>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</si>
  <si>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</si>
  <si>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</si>
  <si>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</si>
  <si>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</si>
  <si>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</si>
  <si>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</si>
  <si>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</si>
  <si>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</si>
  <si>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</si>
  <si>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</si>
  <si>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</si>
  <si>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</si>
  <si>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</si>
  <si>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</si>
  <si>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</si>
  <si>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</si>
  <si>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</si>
  <si>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</si>
  <si>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</si>
  <si>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</si>
  <si>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</si>
  <si>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</si>
  <si>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</si>
  <si>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</si>
  <si>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</si>
  <si>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</si>
  <si>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</si>
  <si>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</si>
  <si>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</si>
  <si>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</si>
  <si>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</si>
  <si>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</si>
  <si>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</si>
  <si>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</si>
  <si>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</si>
  <si>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</si>
  <si>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</si>
  <si>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</si>
  <si>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</si>
  <si>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</si>
  <si>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</si>
  <si>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</si>
  <si>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</si>
  <si>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</si>
  <si>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</si>
  <si>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</si>
  <si>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</si>
  <si>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</si>
  <si>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</si>
  <si>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</si>
  <si>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</si>
  <si>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</si>
  <si>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</si>
  <si>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</si>
  <si>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</si>
  <si>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</si>
  <si>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</si>
  <si>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</si>
  <si>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</si>
  <si>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</si>
  <si>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</si>
  <si>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</si>
  <si>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</si>
  <si>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</si>
  <si>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</si>
  <si>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</si>
  <si>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</si>
  <si>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</si>
  <si>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</si>
  <si>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</si>
  <si>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</si>
  <si>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</si>
  <si>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</si>
  <si>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</si>
  <si>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</si>
  <si>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</si>
  <si>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</si>
  <si>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</si>
  <si>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</si>
  <si>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</si>
  <si>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</si>
  <si>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</si>
  <si>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</si>
  <si>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</si>
  <si>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</si>
  <si>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</si>
  <si>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</si>
  <si>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</si>
  <si>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</si>
  <si>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</si>
  <si>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</si>
  <si>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</si>
  <si>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</si>
  <si>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</si>
  <si>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</si>
  <si>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</si>
  <si>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</si>
  <si>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</si>
  <si>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</si>
  <si>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</si>
  <si>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</si>
  <si>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</si>
  <si>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</si>
  <si>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</si>
  <si>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</si>
  <si>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</si>
  <si>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</si>
  <si>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</si>
  <si>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</si>
  <si>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</si>
  <si>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</si>
  <si>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</si>
  <si>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</si>
  <si>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</si>
  <si>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</si>
  <si>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</si>
  <si>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</si>
  <si>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</si>
  <si>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</si>
  <si>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</si>
  <si>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</si>
  <si>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</si>
  <si>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</si>
  <si>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</si>
  <si>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</si>
  <si>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</si>
  <si>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</si>
  <si>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</si>
  <si>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</si>
  <si>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</si>
  <si>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</si>
  <si>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</si>
  <si>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</si>
  <si>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</si>
  <si>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</si>
  <si>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</si>
  <si>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</si>
  <si>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</si>
  <si>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</si>
  <si>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</si>
  <si>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</si>
  <si>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</si>
  <si>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</si>
  <si>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</si>
  <si>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</si>
  <si>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</si>
  <si>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</si>
  <si>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</si>
  <si>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</si>
  <si>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</si>
  <si>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</si>
  <si>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</si>
  <si>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</si>
  <si>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</si>
  <si>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</si>
  <si>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</si>
  <si>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</si>
  <si>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</si>
  <si>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</si>
  <si>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</si>
  <si>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</si>
  <si>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</si>
  <si>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</si>
  <si>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</si>
  <si>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</si>
  <si>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</si>
  <si>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</si>
  <si>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</si>
  <si>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</si>
  <si>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</si>
  <si>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</si>
  <si>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</si>
  <si>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</si>
  <si>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</si>
  <si>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</si>
  <si>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</si>
  <si>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</si>
  <si>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</si>
  <si>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</si>
  <si>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</si>
  <si>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</si>
  <si>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</si>
  <si>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</si>
  <si>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</si>
  <si>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</si>
  <si>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</si>
  <si>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</si>
  <si>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</si>
  <si>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</si>
  <si>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</si>
  <si>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</si>
  <si>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</si>
  <si>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</si>
  <si>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</si>
  <si>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</si>
  <si>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</si>
  <si>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</si>
  <si>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</si>
  <si>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</si>
  <si>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</si>
  <si>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</si>
  <si>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</si>
  <si>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</si>
  <si>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</si>
  <si>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</si>
  <si>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</si>
  <si>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</si>
  <si>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</si>
  <si>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</si>
  <si>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</si>
  <si>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</si>
  <si>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</si>
  <si>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</si>
  <si>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</si>
  <si>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</si>
  <si>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</si>
  <si>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</si>
  <si>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</si>
  <si>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</si>
  <si>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</si>
  <si>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</si>
  <si>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</si>
  <si>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</si>
  <si>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</si>
  <si>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</si>
  <si>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</si>
  <si>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</si>
  <si>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</si>
  <si>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</si>
  <si>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</si>
  <si>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</si>
  <si>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</si>
  <si>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</si>
  <si>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</si>
  <si>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</si>
  <si>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</si>
  <si>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</si>
  <si>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</si>
  <si>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</si>
  <si>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</si>
  <si>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</si>
  <si>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</si>
  <si>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</si>
  <si>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</si>
  <si>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</si>
  <si>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</si>
  <si>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</si>
  <si>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</si>
  <si>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</si>
  <si>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</si>
  <si>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</si>
  <si>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</si>
  <si>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</si>
  <si>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</si>
  <si>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</si>
  <si>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</si>
  <si>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</si>
  <si>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</si>
  <si>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</si>
  <si>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</si>
  <si>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</si>
  <si>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</si>
  <si>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</si>
  <si>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</si>
  <si>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</si>
  <si>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</si>
  <si>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</si>
  <si>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</si>
  <si>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</si>
  <si>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</si>
  <si>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</si>
  <si>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</si>
  <si>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</si>
  <si>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</si>
  <si>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</si>
  <si>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</si>
  <si>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</si>
  <si>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</si>
  <si>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</si>
  <si>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</si>
  <si>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</si>
  <si>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</si>
  <si>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</si>
  <si>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</si>
  <si>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</si>
  <si>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</si>
  <si>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</si>
  <si>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</si>
  <si>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</si>
  <si>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</si>
  <si>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</si>
  <si>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</si>
  <si>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</si>
  <si>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</si>
  <si>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</si>
  <si>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</si>
  <si>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</si>
  <si>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</si>
  <si>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</si>
  <si>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</si>
  <si>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</si>
  <si>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</si>
  <si>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</si>
  <si>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</si>
  <si>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</si>
  <si>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</si>
  <si>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</si>
  <si>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</si>
  <si>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</si>
  <si>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</si>
  <si>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</si>
  <si>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</si>
  <si>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</si>
  <si>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</si>
  <si>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</si>
  <si>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</si>
  <si>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</si>
  <si>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</si>
  <si>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</si>
  <si>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</si>
  <si>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</si>
  <si>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</si>
  <si>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</si>
  <si>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</si>
  <si>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</si>
  <si>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</si>
  <si>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</si>
  <si>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</si>
  <si>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</si>
  <si>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</si>
  <si>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</si>
  <si>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</si>
  <si>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</si>
  <si>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</si>
  <si>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</si>
  <si>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</si>
  <si>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</si>
  <si>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</si>
  <si>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</si>
  <si>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</si>
  <si>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</si>
  <si>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</si>
  <si>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</si>
  <si>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</si>
  <si>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</si>
  <si>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</si>
  <si>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</si>
  <si>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</si>
  <si>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</si>
  <si>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</si>
  <si>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</si>
  <si>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</si>
  <si>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</si>
  <si>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</si>
  <si>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</si>
  <si>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</si>
  <si>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</si>
  <si>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</si>
  <si>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</si>
  <si>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</si>
  <si>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</si>
  <si>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</si>
  <si>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</si>
  <si>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</si>
  <si>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</si>
  <si>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</si>
  <si>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</si>
  <si>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</si>
  <si>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</si>
  <si>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</si>
  <si>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</si>
  <si>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</si>
  <si>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</si>
  <si>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</si>
  <si>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</si>
  <si>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</si>
  <si>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</si>
  <si>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</si>
  <si>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</si>
  <si>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</si>
  <si>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</si>
  <si>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</si>
  <si>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</si>
  <si>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</si>
  <si>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</si>
  <si>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</si>
  <si>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</si>
  <si>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</si>
  <si>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</si>
  <si>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</si>
  <si>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</si>
  <si>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</si>
  <si>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</si>
  <si>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</si>
  <si>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</si>
  <si>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</si>
  <si>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</si>
  <si>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</si>
  <si>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</si>
  <si>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</si>
  <si>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</si>
  <si>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</si>
  <si>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</si>
  <si>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</si>
  <si>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</si>
  <si>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</si>
  <si>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</si>
  <si>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</si>
  <si>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</si>
  <si>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</si>
  <si>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</si>
  <si>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</si>
  <si>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</si>
  <si>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</si>
  <si>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</si>
  <si>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</si>
  <si>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</si>
  <si>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</si>
  <si>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</si>
  <si>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</si>
  <si>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</si>
  <si>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</si>
  <si>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</si>
  <si>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</si>
  <si>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</si>
  <si>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</si>
  <si>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</si>
  <si>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</si>
  <si>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</si>
  <si>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</si>
  <si>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</si>
  <si>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</si>
  <si>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</si>
  <si>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</si>
  <si>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</si>
  <si>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</si>
  <si>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</si>
  <si>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</si>
  <si>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</si>
  <si>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</si>
  <si>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</si>
  <si>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</si>
  <si>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</si>
  <si>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</si>
  <si>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</si>
  <si>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</si>
  <si>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</si>
  <si>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</si>
  <si>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</si>
  <si>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</si>
  <si>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</si>
  <si>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</si>
  <si>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</si>
  <si>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</si>
  <si>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</si>
  <si>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</si>
  <si>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</si>
  <si>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</si>
  <si>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</si>
  <si>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</si>
  <si>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</si>
  <si>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</si>
  <si>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</si>
  <si>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</si>
  <si>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</si>
  <si>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</si>
  <si>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</si>
  <si>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</si>
  <si>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</si>
  <si>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</si>
  <si>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</si>
  <si>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</si>
  <si>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</si>
  <si>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</si>
  <si>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</si>
  <si>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</si>
  <si>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</si>
  <si>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</si>
  <si>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</si>
  <si>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</si>
  <si>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</si>
  <si>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</si>
  <si>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</si>
  <si>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</si>
  <si>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</si>
  <si>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</si>
  <si>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</si>
  <si>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</si>
  <si>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</si>
  <si>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</si>
  <si>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</si>
  <si>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</si>
  <si>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</si>
  <si>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</si>
  <si>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</si>
  <si>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</si>
  <si>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</si>
  <si>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</si>
  <si>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</si>
  <si>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</si>
  <si>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</si>
  <si>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</si>
  <si>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</si>
  <si>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</si>
  <si>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</si>
  <si>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</si>
  <si>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</si>
  <si>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</si>
  <si>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</si>
  <si>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</si>
  <si>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</si>
  <si>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</si>
  <si>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</si>
  <si>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</si>
  <si>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</si>
  <si>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</si>
  <si>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</si>
  <si>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</si>
  <si>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</si>
  <si>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</si>
  <si>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</si>
  <si>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</si>
  <si>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</si>
  <si>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</si>
  <si>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</si>
  <si>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</si>
  <si>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</si>
  <si>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</si>
  <si>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</si>
  <si>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</si>
  <si>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</si>
  <si>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</si>
  <si>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</si>
  <si>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</si>
  <si>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</si>
  <si>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</si>
  <si>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</si>
  <si>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</si>
  <si>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</si>
  <si>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</si>
  <si>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</si>
  <si>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</si>
  <si>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</si>
  <si>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</si>
  <si>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</si>
  <si>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</si>
  <si>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</si>
  <si>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</si>
  <si>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</si>
  <si>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</si>
  <si>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</si>
  <si>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</si>
  <si>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</si>
  <si>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</si>
  <si>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</si>
  <si>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</si>
  <si>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</si>
  <si>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</si>
  <si>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</si>
  <si>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</si>
  <si>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</si>
  <si>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</si>
  <si>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</si>
  <si>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</si>
  <si>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</si>
  <si>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</si>
  <si>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</si>
  <si>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</si>
  <si>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</si>
  <si>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</si>
  <si>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Total Geral</t>
  </si>
  <si>
    <t>Soma de Area_Km2</t>
  </si>
  <si>
    <t>Soma de Vic_DER_qtde</t>
  </si>
  <si>
    <t>Soma de Vic_OSM_qtde</t>
  </si>
  <si>
    <t>NRA</t>
  </si>
  <si>
    <t>Soma de Vic_DER (km)</t>
  </si>
  <si>
    <t>Soma de Vic_OSM (km)</t>
  </si>
  <si>
    <t>DER/OSM (km)</t>
  </si>
  <si>
    <t>DER/OSM (qtde)</t>
  </si>
  <si>
    <t>Dens. DER 1000Km/km2</t>
  </si>
  <si>
    <t>Dens. OSM 1000Km/km2</t>
  </si>
  <si>
    <t>Regiões com mais população</t>
  </si>
  <si>
    <t>Regiões com mais áreas protegidas</t>
  </si>
  <si>
    <t>CV = (Desvio Padrão / Média) * 100</t>
  </si>
  <si>
    <t>Desvio pad</t>
  </si>
  <si>
    <t>Média</t>
  </si>
  <si>
    <t>Coef de Variação</t>
  </si>
  <si>
    <t>Correlação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</si>
</sst>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164" fontId="0" fillId="0" borderId="0" xfId="1" applyNumberFormat="1" applyFont="1"/>
    <xf numFmtId="164" fontId="1" fillId="0" borderId="0" xfId="1" applyNumberFormat="1" applyFont="1"/>
    <xf numFmtId="10" fontId="0" fillId="0" borderId="0" xfId="1" applyNumberFormat="1" applyFont="1"/>
    <xf numFmtId="10" fontId="1" fillId="0" borderId="0" xfId="1" applyNumberFormat="1" applyFont="1"/>
    <xf numFmtId="165" fontId="0" fillId="0" borderId="0" xfId="0" applyNumberFormat="1"/>
    <xf numFmtId="165" fontId="1" fillId="0" borderId="0" xfId="0" applyNumberFormat="1" applyFont="1"/>
    <xf numFmtId="0" fontId="4" fillId="0" borderId="0" xfId="0" applyFont="1"/>
    <xf numFmtId="3" fontId="4" fillId="0" borderId="0" xfId="0" applyNumberFormat="1" applyFont="1"/>
    <xf numFmtId="164" fontId="4" fillId="0" borderId="0" xfId="1" applyNumberFormat="1" applyFont="1"/>
    <xf numFmtId="10" fontId="4" fillId="0" borderId="0" xfId="1" applyNumberFormat="1" applyFont="1"/>
    <xf numFmtId="165" fontId="4" fillId="0" borderId="0" xfId="0" applyNumberFormat="1" applyFont="1"/>
    <xf numFmtId="0" fontId="3" fillId="0" borderId="0" xfId="0" applyFont="1"/>
    <xf numFmtId="3" fontId="3" fillId="0" borderId="0" xfId="0" applyNumberFormat="1" applyFont="1"/>
    <xf numFmtId="164" fontId="3" fillId="0" borderId="0" xfId="1" applyNumberFormat="1" applyFont="1"/>
    <xf numFmtId="10" fontId="3" fillId="0" borderId="0" xfId="1" applyNumberFormat="1" applyFont="1"/>
    <xf numFmtId="165" fontId="3" fillId="0" borderId="0" xfId="0" applyNumberFormat="1" applyFont="1"/>
    <xf numFmtId="0" fontId="5" fillId="0" borderId="0" xfId="0" applyFont="1"/>
    <xf numFmtId="2" fontId="0" fillId="0" borderId="0" xfId="0" applyNumberFormat="1"/>
    <xf numFmtId="3" fontId="1" fillId="2" borderId="0" xfId="0" applyNumberFormat="1" applyFont="1" applyFill="1"/>
  </cellXfs>
  <cellStyles count="2">
    <cellStyle name="Normal" xfId="0" builtinId="0"/>
    <cellStyle name="Porcentagem" xfId="1" builtinId="5"/>
  </cellStyles>
  <dxfs count="0"/>
  <tableStyles count="1" defaultTableStyle="TableStyleMedium9" defaultPivotStyle="PivotStyleLight16">
    <tableStyle name="Invisible" pivot="0" table="0" count="0" xr9:uid="{844EE5BD-93C3-4F2C-9E5D-A44F8B621A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6"/>
  <sheetViews>
    <sheetView tabSelected="1" topLeftCell="A600" workbookViewId="0">
      <selection activeCell="P28" sqref="P28"/>
    </sheetView>
  </sheetViews>
  <sheetFormatPr defaultRowHeight="14.5" x14ac:dyDescent="0.35"/>
  <cols>
    <col min="1" max="1" width="8.54296875" bestFit="1" customWidth="1"/>
    <col min="2" max="2" width="24.81640625" bestFit="1" customWidth="1"/>
    <col min="12" max="12" width="4.26953125" bestFit="1" customWidth="1"/>
    <col min="13" max="13" width="29.6328125" bestFit="1" customWidth="1"/>
    <col min="14" max="14" width="16.81640625" bestFit="1" customWidth="1"/>
    <col min="15" max="15" width="19.36328125" bestFit="1" customWidth="1"/>
    <col min="16" max="16" width="19.81640625" bestFit="1" customWidth="1"/>
    <col min="17" max="17" width="20" style="3" bestFit="1" customWidth="1"/>
    <col min="18" max="18" width="20.6328125" style="3" bestFit="1" customWidth="1"/>
    <col min="19" max="19" width="6.26953125" style="3" customWidth="1"/>
    <col min="20" max="20" width="15.6328125" style="3" customWidth="1"/>
    <col min="21" max="21" width="14.36328125" style="3" bestFit="1" customWidth="1"/>
    <col min="22" max="22" width="10" style="3" customWidth="1"/>
    <col min="23" max="24" width="24.7265625" customWidth="1"/>
  </cols>
  <sheetData>
    <row r="1" spans="1: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4" t="s">
        <v>674</v>
      </c>
      <c r="M1" s="4" t="s">
        <v>3</v>
      </c>
      <c r="N1" s="5" t="s">
        <v>671</v>
      </c>
      <c r="O1" s="5" t="s">
        <v>675</v>
      </c>
      <c r="P1" s="5" t="s">
        <v>672</v>
      </c>
      <c r="Q1" s="5" t="s">
        <v>676</v>
      </c>
      <c r="R1" s="5" t="s">
        <v>673</v>
      </c>
      <c r="S1" s="2"/>
      <c r="T1" s="2" t="s">
        <v>677</v>
      </c>
      <c r="U1" s="2" t="s">
        <v>678</v>
      </c>
      <c r="V1" s="2"/>
      <c r="W1" s="1" t="s">
        <v>679</v>
      </c>
      <c r="X1" s="1" t="s">
        <v>680</v>
      </c>
    </row>
    <row r="2" spans="1:26" x14ac:dyDescent="0.35">
      <c r="A2">
        <v>3500105</v>
      </c>
      <c r="B2" t="s">
        <v>9</v>
      </c>
      <c r="C2">
        <v>9</v>
      </c>
      <c r="D2" t="s">
        <v>10</v>
      </c>
      <c r="E2">
        <v>411.98700000000002</v>
      </c>
      <c r="F2">
        <v>94217.197</v>
      </c>
      <c r="G2">
        <v>18</v>
      </c>
      <c r="H2">
        <v>239157.524</v>
      </c>
      <c r="I2">
        <v>444</v>
      </c>
      <c r="L2">
        <v>1</v>
      </c>
      <c r="M2" t="s">
        <v>29</v>
      </c>
      <c r="N2" s="3">
        <f>SUMIFS(E$1:E$646,$C$1:$C$646,$L2)</f>
        <v>18558.913000000004</v>
      </c>
      <c r="O2" s="3">
        <f>SUMIFS(F$1:F$646,$C$1:$C$646,$L2)/1000</f>
        <v>2126.6634319999998</v>
      </c>
      <c r="P2" s="3">
        <f>SUMIFS(G$1:G$646,$C$1:$C$646,$L2)</f>
        <v>582</v>
      </c>
      <c r="Q2" s="3">
        <f t="shared" ref="Q2" si="0">SUMIFS(H$1:H$646,$C$1:$C$646,$L2)/1000</f>
        <v>9086.3171660000007</v>
      </c>
      <c r="R2" s="3">
        <f>SUMIFS(I$1:I$646,$C$1:$C$646,$L2)</f>
        <v>13336</v>
      </c>
      <c r="S2"/>
      <c r="T2" s="6">
        <f>O2/Q2</f>
        <v>0.23405119952864295</v>
      </c>
      <c r="U2" s="8">
        <f>P2/R2</f>
        <v>4.364127174565087E-2</v>
      </c>
      <c r="V2"/>
      <c r="W2" s="10">
        <f>(O2/$N2)*1000</f>
        <v>114.58987021492042</v>
      </c>
      <c r="X2" s="10">
        <f>(Q2/$N2)*1000</f>
        <v>489.59317638915587</v>
      </c>
    </row>
    <row r="3" spans="1:26" x14ac:dyDescent="0.35">
      <c r="A3">
        <v>3500204</v>
      </c>
      <c r="B3" t="s">
        <v>11</v>
      </c>
      <c r="C3">
        <v>14</v>
      </c>
      <c r="D3" t="s">
        <v>12</v>
      </c>
      <c r="E3">
        <v>211.05500000000001</v>
      </c>
      <c r="F3">
        <v>32340.776000000002</v>
      </c>
      <c r="G3">
        <v>14</v>
      </c>
      <c r="H3">
        <v>75367.631999999998</v>
      </c>
      <c r="I3">
        <v>127</v>
      </c>
      <c r="L3">
        <v>2</v>
      </c>
      <c r="M3" t="s">
        <v>25</v>
      </c>
      <c r="N3" s="3">
        <f t="shared" ref="N3:N17" si="1">SUMIFS(E$1:E$646,$C$1:$C$646,$L3)</f>
        <v>8343.273000000001</v>
      </c>
      <c r="O3" s="3">
        <f t="shared" ref="O3:O17" si="2">SUMIFS(F$1:F$646,$C$1:$C$646,$L3)/1000</f>
        <v>742.81162799999993</v>
      </c>
      <c r="P3" s="3">
        <f t="shared" ref="P3:P17" si="3">SUMIFS(G$1:G$646,$C$1:$C$646,$L3)</f>
        <v>213</v>
      </c>
      <c r="Q3" s="3">
        <f t="shared" ref="Q3:Q17" si="4">SUMIFS(H$1:H$646,$C$1:$C$646,$L3)/1000</f>
        <v>4905.819461</v>
      </c>
      <c r="R3" s="3">
        <f t="shared" ref="R3:R17" si="5">SUMIFS(I$1:I$646,$C$1:$C$646,$L3)</f>
        <v>8784</v>
      </c>
      <c r="S3"/>
      <c r="T3" s="6">
        <f t="shared" ref="T3:U18" si="6">O3/Q3</f>
        <v>0.15141438324527856</v>
      </c>
      <c r="U3" s="8">
        <f t="shared" si="6"/>
        <v>2.424863387978142E-2</v>
      </c>
      <c r="V3"/>
      <c r="W3" s="10">
        <f t="shared" ref="W3:W18" si="7">(O3/$N3)*1000</f>
        <v>89.031202502902616</v>
      </c>
      <c r="X3" s="10">
        <f t="shared" ref="X3:X18" si="8">(Q3/$N3)*1000</f>
        <v>587.99699602302348</v>
      </c>
    </row>
    <row r="4" spans="1:26" x14ac:dyDescent="0.35">
      <c r="A4">
        <v>3500303</v>
      </c>
      <c r="B4" t="s">
        <v>13</v>
      </c>
      <c r="C4">
        <v>4</v>
      </c>
      <c r="D4" t="s">
        <v>14</v>
      </c>
      <c r="E4">
        <v>474.55399999999997</v>
      </c>
      <c r="F4">
        <v>40769.896999999997</v>
      </c>
      <c r="G4">
        <v>9</v>
      </c>
      <c r="H4">
        <v>319631.641</v>
      </c>
      <c r="I4">
        <v>572</v>
      </c>
      <c r="L4">
        <v>3</v>
      </c>
      <c r="M4" t="s">
        <v>21</v>
      </c>
      <c r="N4" s="3">
        <f t="shared" si="1"/>
        <v>16206.092999999995</v>
      </c>
      <c r="O4" s="3">
        <f t="shared" si="2"/>
        <v>1388.4463079999996</v>
      </c>
      <c r="P4" s="3">
        <f t="shared" si="3"/>
        <v>412</v>
      </c>
      <c r="Q4" s="3">
        <f t="shared" si="4"/>
        <v>8461.8137879999995</v>
      </c>
      <c r="R4" s="3">
        <f t="shared" si="5"/>
        <v>16577</v>
      </c>
      <c r="S4"/>
      <c r="T4" s="6">
        <f t="shared" si="6"/>
        <v>0.16408377007409511</v>
      </c>
      <c r="U4" s="8">
        <f t="shared" si="6"/>
        <v>2.4853712975809857E-2</v>
      </c>
      <c r="V4"/>
      <c r="W4" s="10">
        <f t="shared" si="7"/>
        <v>85.674339151330315</v>
      </c>
      <c r="X4" s="10">
        <f t="shared" si="8"/>
        <v>522.13780261534976</v>
      </c>
    </row>
    <row r="5" spans="1:26" x14ac:dyDescent="0.35">
      <c r="A5">
        <v>3500402</v>
      </c>
      <c r="B5" t="s">
        <v>15</v>
      </c>
      <c r="C5">
        <v>4</v>
      </c>
      <c r="D5" t="s">
        <v>14</v>
      </c>
      <c r="E5">
        <v>142.96100000000001</v>
      </c>
      <c r="F5">
        <v>4543.9470000000001</v>
      </c>
      <c r="G5">
        <v>4</v>
      </c>
      <c r="H5">
        <v>119050.63</v>
      </c>
      <c r="I5">
        <v>279</v>
      </c>
      <c r="L5" s="17">
        <v>4</v>
      </c>
      <c r="M5" s="17" t="s">
        <v>14</v>
      </c>
      <c r="N5" s="18">
        <f t="shared" si="1"/>
        <v>27093.395999999993</v>
      </c>
      <c r="O5" s="18">
        <f t="shared" si="2"/>
        <v>3584.297406000002</v>
      </c>
      <c r="P5" s="18">
        <f t="shared" si="3"/>
        <v>1223</v>
      </c>
      <c r="Q5" s="18">
        <f t="shared" si="4"/>
        <v>23580.701592000012</v>
      </c>
      <c r="R5" s="18">
        <f t="shared" si="5"/>
        <v>66484</v>
      </c>
      <c r="S5" s="17"/>
      <c r="T5" s="19">
        <f t="shared" si="6"/>
        <v>0.1520013046268314</v>
      </c>
      <c r="U5" s="20">
        <f t="shared" si="6"/>
        <v>1.8395403405330607E-2</v>
      </c>
      <c r="V5" s="17"/>
      <c r="W5" s="21">
        <f t="shared" si="7"/>
        <v>132.29413566317058</v>
      </c>
      <c r="X5" s="21">
        <f t="shared" si="8"/>
        <v>870.34868541396645</v>
      </c>
      <c r="Z5" t="s">
        <v>681</v>
      </c>
    </row>
    <row r="6" spans="1:26" x14ac:dyDescent="0.35">
      <c r="A6">
        <v>3500501</v>
      </c>
      <c r="B6" t="s">
        <v>16</v>
      </c>
      <c r="C6">
        <v>4</v>
      </c>
      <c r="D6" t="s">
        <v>14</v>
      </c>
      <c r="E6">
        <v>60.125999999999998</v>
      </c>
      <c r="F6">
        <v>28080.437000000002</v>
      </c>
      <c r="G6">
        <v>11</v>
      </c>
      <c r="H6">
        <v>93423.252000000008</v>
      </c>
      <c r="I6">
        <v>321</v>
      </c>
      <c r="L6">
        <v>5</v>
      </c>
      <c r="M6" t="s">
        <v>38</v>
      </c>
      <c r="N6" s="3">
        <f t="shared" si="1"/>
        <v>11093.296</v>
      </c>
      <c r="O6" s="3">
        <f t="shared" si="2"/>
        <v>1212.475414</v>
      </c>
      <c r="P6" s="3">
        <f t="shared" si="3"/>
        <v>324</v>
      </c>
      <c r="Q6" s="3">
        <f t="shared" si="4"/>
        <v>7202.1325819999993</v>
      </c>
      <c r="R6" s="3">
        <f t="shared" si="5"/>
        <v>16528</v>
      </c>
      <c r="S6"/>
      <c r="T6" s="6">
        <f t="shared" si="6"/>
        <v>0.16834949929001461</v>
      </c>
      <c r="U6" s="8">
        <f t="shared" si="6"/>
        <v>1.9603097773475315E-2</v>
      </c>
      <c r="V6"/>
      <c r="W6" s="10">
        <f t="shared" si="7"/>
        <v>109.29803135154781</v>
      </c>
      <c r="X6" s="10">
        <f t="shared" si="8"/>
        <v>649.23288642077148</v>
      </c>
    </row>
    <row r="7" spans="1:26" x14ac:dyDescent="0.35">
      <c r="A7">
        <v>3500550</v>
      </c>
      <c r="B7" t="s">
        <v>17</v>
      </c>
      <c r="C7">
        <v>13</v>
      </c>
      <c r="D7" t="s">
        <v>18</v>
      </c>
      <c r="E7">
        <v>404.46300000000002</v>
      </c>
      <c r="F7">
        <v>41258.362000000001</v>
      </c>
      <c r="G7">
        <v>19</v>
      </c>
      <c r="H7">
        <v>223838.85500000001</v>
      </c>
      <c r="I7">
        <v>587</v>
      </c>
      <c r="L7">
        <v>6</v>
      </c>
      <c r="M7" t="s">
        <v>55</v>
      </c>
      <c r="N7" s="3">
        <f t="shared" si="1"/>
        <v>10328.911999999998</v>
      </c>
      <c r="O7" s="3">
        <f t="shared" si="2"/>
        <v>1363.7000100000002</v>
      </c>
      <c r="P7" s="3">
        <f t="shared" si="3"/>
        <v>294</v>
      </c>
      <c r="Q7" s="3">
        <f t="shared" si="4"/>
        <v>6067.1118239999996</v>
      </c>
      <c r="R7" s="3">
        <f t="shared" si="5"/>
        <v>13601</v>
      </c>
      <c r="S7"/>
      <c r="T7" s="6">
        <f t="shared" si="6"/>
        <v>0.22476922291188683</v>
      </c>
      <c r="U7" s="8">
        <f t="shared" si="6"/>
        <v>2.1616057642820381E-2</v>
      </c>
      <c r="V7"/>
      <c r="W7" s="10">
        <f t="shared" si="7"/>
        <v>132.02745942651077</v>
      </c>
      <c r="X7" s="10">
        <f t="shared" si="8"/>
        <v>587.39118156878487</v>
      </c>
    </row>
    <row r="8" spans="1:26" x14ac:dyDescent="0.35">
      <c r="A8">
        <v>3500600</v>
      </c>
      <c r="B8" t="s">
        <v>19</v>
      </c>
      <c r="C8">
        <v>4</v>
      </c>
      <c r="D8" t="s">
        <v>14</v>
      </c>
      <c r="E8">
        <v>3.6120000000000001</v>
      </c>
      <c r="H8">
        <v>2959.96</v>
      </c>
      <c r="I8">
        <v>46</v>
      </c>
      <c r="L8">
        <v>7</v>
      </c>
      <c r="M8" t="s">
        <v>44</v>
      </c>
      <c r="N8" s="3">
        <f t="shared" si="1"/>
        <v>19339.796999999999</v>
      </c>
      <c r="O8" s="3">
        <f t="shared" si="2"/>
        <v>1528.5608159999999</v>
      </c>
      <c r="P8" s="3">
        <f t="shared" si="3"/>
        <v>326</v>
      </c>
      <c r="Q8" s="3">
        <f t="shared" si="4"/>
        <v>10430.822411000001</v>
      </c>
      <c r="R8" s="3">
        <f t="shared" si="5"/>
        <v>20991</v>
      </c>
      <c r="S8"/>
      <c r="T8" s="6">
        <f t="shared" si="6"/>
        <v>0.14654269392871938</v>
      </c>
      <c r="U8" s="8">
        <f t="shared" si="6"/>
        <v>1.5530465437568482E-2</v>
      </c>
      <c r="V8"/>
      <c r="W8" s="10">
        <f t="shared" si="7"/>
        <v>79.037066211191359</v>
      </c>
      <c r="X8" s="10">
        <f t="shared" si="8"/>
        <v>539.34497921565571</v>
      </c>
    </row>
    <row r="9" spans="1:26" x14ac:dyDescent="0.35">
      <c r="A9">
        <v>3500709</v>
      </c>
      <c r="B9" t="s">
        <v>20</v>
      </c>
      <c r="C9">
        <v>3</v>
      </c>
      <c r="D9" t="s">
        <v>21</v>
      </c>
      <c r="E9">
        <v>966.70799999999997</v>
      </c>
      <c r="F9">
        <v>60610.177000000003</v>
      </c>
      <c r="G9">
        <v>27</v>
      </c>
      <c r="H9">
        <v>336300.22100000002</v>
      </c>
      <c r="I9">
        <v>471</v>
      </c>
      <c r="L9">
        <v>8</v>
      </c>
      <c r="M9" t="s">
        <v>34</v>
      </c>
      <c r="N9" s="3">
        <f t="shared" si="1"/>
        <v>18516.98</v>
      </c>
      <c r="O9" s="3">
        <f t="shared" si="2"/>
        <v>1866.3625140000004</v>
      </c>
      <c r="P9" s="3">
        <f t="shared" si="3"/>
        <v>552</v>
      </c>
      <c r="Q9" s="3">
        <f t="shared" si="4"/>
        <v>11296.201653</v>
      </c>
      <c r="R9" s="3">
        <f t="shared" si="5"/>
        <v>20333</v>
      </c>
      <c r="S9"/>
      <c r="T9" s="6">
        <f t="shared" si="6"/>
        <v>0.16522036090815884</v>
      </c>
      <c r="U9" s="8">
        <f t="shared" si="6"/>
        <v>2.714798603255791E-2</v>
      </c>
      <c r="V9"/>
      <c r="W9" s="10">
        <f t="shared" si="7"/>
        <v>100.79194955116873</v>
      </c>
      <c r="X9" s="10">
        <f t="shared" si="8"/>
        <v>610.04557184810915</v>
      </c>
    </row>
    <row r="10" spans="1:26" x14ac:dyDescent="0.35">
      <c r="A10">
        <v>3500758</v>
      </c>
      <c r="B10" t="s">
        <v>22</v>
      </c>
      <c r="C10">
        <v>13</v>
      </c>
      <c r="D10" t="s">
        <v>18</v>
      </c>
      <c r="E10">
        <v>159.6</v>
      </c>
      <c r="F10">
        <v>17144.803</v>
      </c>
      <c r="G10">
        <v>7</v>
      </c>
      <c r="H10">
        <v>111972.452</v>
      </c>
      <c r="I10">
        <v>281</v>
      </c>
      <c r="L10">
        <v>9</v>
      </c>
      <c r="M10" t="s">
        <v>10</v>
      </c>
      <c r="N10" s="3">
        <f t="shared" si="1"/>
        <v>23780.144000000004</v>
      </c>
      <c r="O10" s="3">
        <f t="shared" si="2"/>
        <v>2377.5152599999992</v>
      </c>
      <c r="P10" s="3">
        <f t="shared" si="3"/>
        <v>572</v>
      </c>
      <c r="Q10" s="3">
        <f t="shared" si="4"/>
        <v>11114.871249999998</v>
      </c>
      <c r="R10" s="3">
        <f t="shared" si="5"/>
        <v>16100</v>
      </c>
      <c r="S10"/>
      <c r="T10" s="6">
        <f t="shared" si="6"/>
        <v>0.21390398561746718</v>
      </c>
      <c r="U10" s="8">
        <f t="shared" si="6"/>
        <v>3.5527950310559005E-2</v>
      </c>
      <c r="V10"/>
      <c r="W10" s="10">
        <f t="shared" si="7"/>
        <v>99.979010219618473</v>
      </c>
      <c r="X10" s="10">
        <f t="shared" si="8"/>
        <v>467.40134332239518</v>
      </c>
    </row>
    <row r="11" spans="1:26" x14ac:dyDescent="0.35">
      <c r="A11">
        <v>3500808</v>
      </c>
      <c r="B11" t="s">
        <v>23</v>
      </c>
      <c r="C11">
        <v>9</v>
      </c>
      <c r="D11" t="s">
        <v>10</v>
      </c>
      <c r="E11">
        <v>118.91500000000001</v>
      </c>
      <c r="F11">
        <v>15181.448</v>
      </c>
      <c r="G11">
        <v>4</v>
      </c>
      <c r="H11">
        <v>76430.81</v>
      </c>
      <c r="I11">
        <v>94</v>
      </c>
      <c r="L11" s="17">
        <v>10</v>
      </c>
      <c r="M11" s="17" t="s">
        <v>67</v>
      </c>
      <c r="N11" s="18">
        <f t="shared" si="1"/>
        <v>7946.9560000000001</v>
      </c>
      <c r="O11" s="18">
        <f t="shared" si="2"/>
        <v>1329.5455239999999</v>
      </c>
      <c r="P11" s="18">
        <f t="shared" si="3"/>
        <v>592</v>
      </c>
      <c r="Q11" s="18">
        <f t="shared" si="4"/>
        <v>8222.9214100000008</v>
      </c>
      <c r="R11" s="18">
        <f t="shared" si="5"/>
        <v>32090</v>
      </c>
      <c r="S11" s="17"/>
      <c r="T11" s="19">
        <f t="shared" si="6"/>
        <v>0.16168773331374936</v>
      </c>
      <c r="U11" s="20">
        <f t="shared" si="6"/>
        <v>1.8448114677469617E-2</v>
      </c>
      <c r="V11" s="17"/>
      <c r="W11" s="21">
        <f t="shared" si="7"/>
        <v>167.30248965767518</v>
      </c>
      <c r="X11" s="21">
        <f t="shared" si="8"/>
        <v>1034.725926505696</v>
      </c>
      <c r="Z11" t="s">
        <v>681</v>
      </c>
    </row>
    <row r="12" spans="1:26" x14ac:dyDescent="0.35">
      <c r="A12">
        <v>3500907</v>
      </c>
      <c r="B12" t="s">
        <v>24</v>
      </c>
      <c r="C12">
        <v>2</v>
      </c>
      <c r="D12" t="s">
        <v>25</v>
      </c>
      <c r="E12">
        <v>313.00700000000001</v>
      </c>
      <c r="F12">
        <v>16514.337</v>
      </c>
      <c r="G12">
        <v>6</v>
      </c>
      <c r="H12">
        <v>147824.66200000001</v>
      </c>
      <c r="I12">
        <v>224</v>
      </c>
      <c r="L12">
        <v>11</v>
      </c>
      <c r="M12" t="s">
        <v>27</v>
      </c>
      <c r="N12" s="3">
        <f t="shared" si="1"/>
        <v>9301.2459999999992</v>
      </c>
      <c r="O12" s="3">
        <f t="shared" si="2"/>
        <v>1074.263242</v>
      </c>
      <c r="P12" s="3">
        <f t="shared" si="3"/>
        <v>298</v>
      </c>
      <c r="Q12" s="3">
        <f t="shared" si="4"/>
        <v>5217.1829410000009</v>
      </c>
      <c r="R12" s="3">
        <f t="shared" si="5"/>
        <v>13562</v>
      </c>
      <c r="S12"/>
      <c r="T12" s="6">
        <f t="shared" si="6"/>
        <v>0.20590867794911771</v>
      </c>
      <c r="U12" s="8">
        <f t="shared" si="6"/>
        <v>2.1973160300840584E-2</v>
      </c>
      <c r="V12"/>
      <c r="W12" s="10">
        <f t="shared" si="7"/>
        <v>115.49670248480689</v>
      </c>
      <c r="X12" s="10">
        <f t="shared" si="8"/>
        <v>560.91226283016294</v>
      </c>
    </row>
    <row r="13" spans="1:26" x14ac:dyDescent="0.35">
      <c r="A13">
        <v>3501004</v>
      </c>
      <c r="B13" t="s">
        <v>26</v>
      </c>
      <c r="C13">
        <v>11</v>
      </c>
      <c r="D13" t="s">
        <v>27</v>
      </c>
      <c r="E13">
        <v>928.95600000000002</v>
      </c>
      <c r="F13">
        <v>107882.505</v>
      </c>
      <c r="G13">
        <v>15</v>
      </c>
      <c r="H13">
        <v>332639.16800000001</v>
      </c>
      <c r="I13">
        <v>504</v>
      </c>
      <c r="L13" s="12">
        <v>12</v>
      </c>
      <c r="M13" s="12" t="s">
        <v>96</v>
      </c>
      <c r="N13" s="13">
        <f t="shared" si="1"/>
        <v>2428.7369999999996</v>
      </c>
      <c r="O13" s="13">
        <f t="shared" si="2"/>
        <v>132.791706</v>
      </c>
      <c r="P13" s="13">
        <f t="shared" si="3"/>
        <v>32</v>
      </c>
      <c r="Q13" s="13">
        <f t="shared" si="4"/>
        <v>1044.2729189999998</v>
      </c>
      <c r="R13" s="13">
        <f t="shared" si="5"/>
        <v>4626</v>
      </c>
      <c r="S13" s="12"/>
      <c r="T13" s="14">
        <f t="shared" si="6"/>
        <v>0.12716187845526236</v>
      </c>
      <c r="U13" s="15">
        <f t="shared" si="6"/>
        <v>6.9174232598357109E-3</v>
      </c>
      <c r="V13" s="12"/>
      <c r="W13" s="16">
        <f t="shared" si="7"/>
        <v>54.675210201845658</v>
      </c>
      <c r="X13" s="16">
        <f t="shared" si="8"/>
        <v>429.96541782827865</v>
      </c>
      <c r="Z13" t="s">
        <v>682</v>
      </c>
    </row>
    <row r="14" spans="1:26" x14ac:dyDescent="0.35">
      <c r="A14">
        <v>3501103</v>
      </c>
      <c r="B14" t="s">
        <v>28</v>
      </c>
      <c r="C14">
        <v>1</v>
      </c>
      <c r="D14" t="s">
        <v>29</v>
      </c>
      <c r="E14">
        <v>318.57400000000001</v>
      </c>
      <c r="F14">
        <v>46526.451999999997</v>
      </c>
      <c r="G14">
        <v>17</v>
      </c>
      <c r="H14">
        <v>174474.18900000001</v>
      </c>
      <c r="I14">
        <v>239</v>
      </c>
      <c r="L14">
        <v>13</v>
      </c>
      <c r="M14" t="s">
        <v>18</v>
      </c>
      <c r="N14" s="3">
        <f t="shared" si="1"/>
        <v>21529.356000000007</v>
      </c>
      <c r="O14" s="3">
        <f t="shared" si="2"/>
        <v>2338.1727290000003</v>
      </c>
      <c r="P14" s="3">
        <f t="shared" si="3"/>
        <v>705</v>
      </c>
      <c r="Q14" s="3">
        <f t="shared" si="4"/>
        <v>17275.417545</v>
      </c>
      <c r="R14" s="3">
        <f t="shared" si="5"/>
        <v>39678</v>
      </c>
      <c r="S14"/>
      <c r="T14" s="6">
        <f t="shared" si="6"/>
        <v>0.13534681421791361</v>
      </c>
      <c r="U14" s="8">
        <f t="shared" si="6"/>
        <v>1.7768032662936639E-2</v>
      </c>
      <c r="V14"/>
      <c r="W14" s="10">
        <f t="shared" si="7"/>
        <v>108.603932648984</v>
      </c>
      <c r="X14" s="10">
        <f t="shared" si="8"/>
        <v>802.41218292827682</v>
      </c>
    </row>
    <row r="15" spans="1:26" x14ac:dyDescent="0.35">
      <c r="A15">
        <v>3501152</v>
      </c>
      <c r="B15" t="s">
        <v>30</v>
      </c>
      <c r="C15">
        <v>13</v>
      </c>
      <c r="D15" t="s">
        <v>18</v>
      </c>
      <c r="E15">
        <v>83.66</v>
      </c>
      <c r="F15">
        <v>9439.5049999999992</v>
      </c>
      <c r="G15">
        <v>7</v>
      </c>
      <c r="H15">
        <v>103707.71400000001</v>
      </c>
      <c r="I15">
        <v>383</v>
      </c>
      <c r="L15">
        <v>14</v>
      </c>
      <c r="M15" t="s">
        <v>12</v>
      </c>
      <c r="N15" s="3">
        <f t="shared" si="1"/>
        <v>25438.642999999996</v>
      </c>
      <c r="O15" s="3">
        <f t="shared" si="2"/>
        <v>2625.262369</v>
      </c>
      <c r="P15" s="3">
        <f t="shared" si="3"/>
        <v>756</v>
      </c>
      <c r="Q15" s="3">
        <f t="shared" si="4"/>
        <v>17001.364300000005</v>
      </c>
      <c r="R15" s="3">
        <f t="shared" si="5"/>
        <v>33754</v>
      </c>
      <c r="S15"/>
      <c r="T15" s="6">
        <f t="shared" si="6"/>
        <v>0.15441480593413315</v>
      </c>
      <c r="U15" s="8">
        <f t="shared" si="6"/>
        <v>2.2397345499792616E-2</v>
      </c>
      <c r="V15"/>
      <c r="W15" s="10">
        <f t="shared" si="7"/>
        <v>103.19978031060857</v>
      </c>
      <c r="X15" s="10">
        <f t="shared" si="8"/>
        <v>668.32827128396775</v>
      </c>
    </row>
    <row r="16" spans="1:26" x14ac:dyDescent="0.35">
      <c r="A16">
        <v>3501202</v>
      </c>
      <c r="B16" t="s">
        <v>31</v>
      </c>
      <c r="C16">
        <v>14</v>
      </c>
      <c r="D16" t="s">
        <v>12</v>
      </c>
      <c r="E16">
        <v>362.411</v>
      </c>
      <c r="F16">
        <v>31910.564999999999</v>
      </c>
      <c r="G16">
        <v>5</v>
      </c>
      <c r="H16">
        <v>255032.24400000001</v>
      </c>
      <c r="I16">
        <v>340</v>
      </c>
      <c r="L16">
        <v>15</v>
      </c>
      <c r="M16" t="s">
        <v>48</v>
      </c>
      <c r="N16" s="3">
        <f t="shared" si="1"/>
        <v>16177.910999999998</v>
      </c>
      <c r="O16" s="3">
        <f t="shared" si="2"/>
        <v>1568.5202790000001</v>
      </c>
      <c r="P16" s="3">
        <f t="shared" si="3"/>
        <v>420</v>
      </c>
      <c r="Q16" s="3">
        <f t="shared" si="4"/>
        <v>10185.002913999997</v>
      </c>
      <c r="R16" s="3">
        <f t="shared" si="5"/>
        <v>21022</v>
      </c>
      <c r="S16"/>
      <c r="T16" s="6">
        <f t="shared" si="6"/>
        <v>0.15400292884000646</v>
      </c>
      <c r="U16" s="8">
        <f t="shared" si="6"/>
        <v>1.9979069546189707E-2</v>
      </c>
      <c r="V16"/>
      <c r="W16" s="10">
        <f t="shared" si="7"/>
        <v>96.954438616951251</v>
      </c>
      <c r="X16" s="10">
        <f t="shared" si="8"/>
        <v>629.5623034395478</v>
      </c>
    </row>
    <row r="17" spans="1:26" x14ac:dyDescent="0.35">
      <c r="A17">
        <v>3501301</v>
      </c>
      <c r="B17" t="s">
        <v>32</v>
      </c>
      <c r="C17">
        <v>9</v>
      </c>
      <c r="D17" t="s">
        <v>10</v>
      </c>
      <c r="E17">
        <v>347.64699999999999</v>
      </c>
      <c r="F17">
        <v>42830.703999999998</v>
      </c>
      <c r="G17">
        <v>15</v>
      </c>
      <c r="H17">
        <v>297155.31699999998</v>
      </c>
      <c r="I17">
        <v>694</v>
      </c>
      <c r="L17" s="12">
        <v>16</v>
      </c>
      <c r="M17" s="12" t="s">
        <v>85</v>
      </c>
      <c r="N17" s="13">
        <f t="shared" si="1"/>
        <v>12135.974000000002</v>
      </c>
      <c r="O17" s="13">
        <f t="shared" si="2"/>
        <v>659.1878200000001</v>
      </c>
      <c r="P17" s="13">
        <f t="shared" si="3"/>
        <v>116</v>
      </c>
      <c r="Q17" s="13">
        <f t="shared" si="4"/>
        <v>4181.2895490000001</v>
      </c>
      <c r="R17" s="13">
        <f t="shared" si="5"/>
        <v>6275</v>
      </c>
      <c r="S17" s="12"/>
      <c r="T17" s="14">
        <f t="shared" si="6"/>
        <v>0.15765179911007404</v>
      </c>
      <c r="U17" s="15">
        <f t="shared" si="6"/>
        <v>1.848605577689243E-2</v>
      </c>
      <c r="V17" s="12"/>
      <c r="W17" s="16">
        <f t="shared" si="7"/>
        <v>54.316845108600262</v>
      </c>
      <c r="X17" s="16">
        <f t="shared" si="8"/>
        <v>344.53679193775463</v>
      </c>
      <c r="Z17" t="s">
        <v>682</v>
      </c>
    </row>
    <row r="18" spans="1:26" x14ac:dyDescent="0.35">
      <c r="A18">
        <v>3501400</v>
      </c>
      <c r="B18" t="s">
        <v>33</v>
      </c>
      <c r="C18">
        <v>8</v>
      </c>
      <c r="D18" t="s">
        <v>34</v>
      </c>
      <c r="E18">
        <v>153.66200000000001</v>
      </c>
      <c r="H18">
        <v>53420.101000000002</v>
      </c>
      <c r="I18">
        <v>51</v>
      </c>
      <c r="M18" s="4" t="s">
        <v>670</v>
      </c>
      <c r="N18" s="5">
        <f>SUM(N2:N17)</f>
        <v>248219.62699999998</v>
      </c>
      <c r="O18" s="24">
        <f t="shared" ref="O18:R18" si="9">SUM(O2:O17)</f>
        <v>25918.576457000003</v>
      </c>
      <c r="P18" s="5">
        <f t="shared" si="9"/>
        <v>7417</v>
      </c>
      <c r="Q18" s="24">
        <f t="shared" si="9"/>
        <v>155273.24330500004</v>
      </c>
      <c r="R18" s="5">
        <f t="shared" si="9"/>
        <v>343741</v>
      </c>
      <c r="S18"/>
      <c r="T18" s="7">
        <f t="shared" si="6"/>
        <v>0.16692236154357049</v>
      </c>
      <c r="U18" s="9">
        <f t="shared" si="6"/>
        <v>2.1577292205468654E-2</v>
      </c>
      <c r="V18"/>
      <c r="W18" s="11">
        <f t="shared" si="7"/>
        <v>104.41791718992472</v>
      </c>
      <c r="X18" s="11">
        <f t="shared" si="8"/>
        <v>625.54780692261716</v>
      </c>
    </row>
    <row r="19" spans="1:26" x14ac:dyDescent="0.35">
      <c r="A19">
        <v>3501509</v>
      </c>
      <c r="B19" t="s">
        <v>35</v>
      </c>
      <c r="C19">
        <v>8</v>
      </c>
      <c r="D19" t="s">
        <v>34</v>
      </c>
      <c r="E19">
        <v>84.879000000000005</v>
      </c>
      <c r="F19">
        <v>10851.942999999999</v>
      </c>
      <c r="G19">
        <v>3</v>
      </c>
      <c r="H19">
        <v>54239.550999999999</v>
      </c>
      <c r="I19">
        <v>142</v>
      </c>
      <c r="Q19"/>
      <c r="R19"/>
      <c r="S19"/>
      <c r="T19"/>
      <c r="U19"/>
      <c r="V19"/>
    </row>
    <row r="20" spans="1:26" x14ac:dyDescent="0.35">
      <c r="A20">
        <v>3501608</v>
      </c>
      <c r="B20" t="s">
        <v>36</v>
      </c>
      <c r="C20">
        <v>4</v>
      </c>
      <c r="D20" t="s">
        <v>14</v>
      </c>
      <c r="E20">
        <v>133.91200000000001</v>
      </c>
      <c r="F20">
        <v>25613.717000000001</v>
      </c>
      <c r="G20">
        <v>10</v>
      </c>
      <c r="H20">
        <v>89708.111000000004</v>
      </c>
      <c r="I20">
        <v>642</v>
      </c>
      <c r="V20" s="3" t="s">
        <v>684</v>
      </c>
      <c r="W20">
        <f>_xlfn.STDEV.P(W2:W17)</f>
        <v>27.410272399930474</v>
      </c>
      <c r="X20">
        <f>_xlfn.STDEV.P(X2:X17)</f>
        <v>166.63587811810854</v>
      </c>
    </row>
    <row r="21" spans="1:26" x14ac:dyDescent="0.35">
      <c r="A21">
        <v>3501707</v>
      </c>
      <c r="B21" t="s">
        <v>37</v>
      </c>
      <c r="C21">
        <v>5</v>
      </c>
      <c r="D21" t="s">
        <v>38</v>
      </c>
      <c r="E21">
        <v>122.785</v>
      </c>
      <c r="F21">
        <v>25210.647000000001</v>
      </c>
      <c r="G21">
        <v>12</v>
      </c>
      <c r="H21">
        <v>44418.436000000002</v>
      </c>
      <c r="I21">
        <v>149</v>
      </c>
      <c r="V21" s="3" t="s">
        <v>685</v>
      </c>
      <c r="W21" s="10">
        <f>AVERAGE(W2:W17)</f>
        <v>102.70452895761454</v>
      </c>
      <c r="X21" s="10">
        <f>AVERAGE(X2:X17)</f>
        <v>612.12098622318115</v>
      </c>
    </row>
    <row r="22" spans="1:26" x14ac:dyDescent="0.35">
      <c r="A22">
        <v>3501806</v>
      </c>
      <c r="B22" t="s">
        <v>39</v>
      </c>
      <c r="C22">
        <v>14</v>
      </c>
      <c r="D22" t="s">
        <v>12</v>
      </c>
      <c r="E22">
        <v>252.876</v>
      </c>
      <c r="F22">
        <v>32622.867999999999</v>
      </c>
      <c r="G22">
        <v>9</v>
      </c>
      <c r="H22">
        <v>148058.171</v>
      </c>
      <c r="I22">
        <v>260</v>
      </c>
      <c r="T22" s="22" t="s">
        <v>683</v>
      </c>
      <c r="V22" s="3" t="s">
        <v>686</v>
      </c>
      <c r="W22" s="6">
        <f>W20/W21</f>
        <v>0.26688474868759199</v>
      </c>
      <c r="X22" s="6">
        <f>X20/X21</f>
        <v>0.27222703006191751</v>
      </c>
    </row>
    <row r="23" spans="1:26" x14ac:dyDescent="0.35">
      <c r="A23">
        <v>3501905</v>
      </c>
      <c r="B23" t="s">
        <v>40</v>
      </c>
      <c r="C23">
        <v>4</v>
      </c>
      <c r="D23" t="s">
        <v>14</v>
      </c>
      <c r="E23">
        <v>445.32299999999998</v>
      </c>
      <c r="F23">
        <v>53074.796999999999</v>
      </c>
      <c r="G23">
        <v>15</v>
      </c>
      <c r="H23">
        <v>425514.10800000001</v>
      </c>
      <c r="I23">
        <v>975</v>
      </c>
    </row>
    <row r="24" spans="1:26" x14ac:dyDescent="0.35">
      <c r="A24">
        <v>3502002</v>
      </c>
      <c r="B24" t="s">
        <v>41</v>
      </c>
      <c r="C24">
        <v>4</v>
      </c>
      <c r="D24" t="s">
        <v>14</v>
      </c>
      <c r="E24">
        <v>325.95299999999997</v>
      </c>
      <c r="F24">
        <v>6572.9459999999999</v>
      </c>
      <c r="G24">
        <v>2</v>
      </c>
      <c r="H24">
        <v>176178.79199999999</v>
      </c>
      <c r="I24">
        <v>322</v>
      </c>
      <c r="V24" s="3" t="s">
        <v>687</v>
      </c>
      <c r="W24" s="23">
        <f>CORREL(W2:W17,X2:X17)</f>
        <v>0.80839995513980434</v>
      </c>
    </row>
    <row r="25" spans="1:26" x14ac:dyDescent="0.35">
      <c r="A25">
        <v>3502101</v>
      </c>
      <c r="B25" t="s">
        <v>42</v>
      </c>
      <c r="C25">
        <v>1</v>
      </c>
      <c r="D25" t="s">
        <v>29</v>
      </c>
      <c r="E25">
        <v>964.226</v>
      </c>
      <c r="F25">
        <v>85370.578999999998</v>
      </c>
      <c r="G25">
        <v>23</v>
      </c>
      <c r="H25">
        <v>415002.408</v>
      </c>
      <c r="I25">
        <v>568</v>
      </c>
    </row>
    <row r="26" spans="1:26" x14ac:dyDescent="0.35">
      <c r="A26">
        <v>3502200</v>
      </c>
      <c r="B26" t="s">
        <v>43</v>
      </c>
      <c r="C26">
        <v>7</v>
      </c>
      <c r="D26" t="s">
        <v>44</v>
      </c>
      <c r="E26">
        <v>1027.288</v>
      </c>
      <c r="F26">
        <v>78695.38</v>
      </c>
      <c r="G26">
        <v>13</v>
      </c>
      <c r="H26">
        <v>386570.745</v>
      </c>
      <c r="I26">
        <v>538</v>
      </c>
    </row>
    <row r="27" spans="1:26" x14ac:dyDescent="0.35">
      <c r="A27">
        <v>3502309</v>
      </c>
      <c r="B27" t="s">
        <v>45</v>
      </c>
      <c r="C27">
        <v>13</v>
      </c>
      <c r="D27" t="s">
        <v>18</v>
      </c>
      <c r="E27">
        <v>736.55700000000002</v>
      </c>
      <c r="F27">
        <v>66938.975999999995</v>
      </c>
      <c r="G27">
        <v>10</v>
      </c>
      <c r="H27">
        <v>331468.56800000003</v>
      </c>
      <c r="I27">
        <v>427</v>
      </c>
    </row>
    <row r="28" spans="1:26" x14ac:dyDescent="0.35">
      <c r="A28">
        <v>3502408</v>
      </c>
      <c r="B28" t="s">
        <v>46</v>
      </c>
      <c r="C28">
        <v>9</v>
      </c>
      <c r="D28" t="s">
        <v>10</v>
      </c>
      <c r="E28">
        <v>320.83999999999997</v>
      </c>
      <c r="F28">
        <v>9842.518</v>
      </c>
      <c r="G28">
        <v>4</v>
      </c>
      <c r="H28">
        <v>207495.315</v>
      </c>
      <c r="I28">
        <v>291</v>
      </c>
    </row>
    <row r="29" spans="1:26" x14ac:dyDescent="0.35">
      <c r="A29">
        <v>3502507</v>
      </c>
      <c r="B29" t="s">
        <v>47</v>
      </c>
      <c r="C29">
        <v>15</v>
      </c>
      <c r="D29" t="s">
        <v>48</v>
      </c>
      <c r="E29">
        <v>121.07599999999999</v>
      </c>
      <c r="F29">
        <v>22771.170999999998</v>
      </c>
      <c r="G29">
        <v>8</v>
      </c>
      <c r="H29">
        <v>95656.652000000002</v>
      </c>
      <c r="I29">
        <v>219</v>
      </c>
    </row>
    <row r="30" spans="1:26" x14ac:dyDescent="0.35">
      <c r="A30">
        <v>3502606</v>
      </c>
      <c r="B30" t="s">
        <v>49</v>
      </c>
      <c r="C30">
        <v>14</v>
      </c>
      <c r="D30" t="s">
        <v>12</v>
      </c>
      <c r="E30">
        <v>179.00399999999999</v>
      </c>
      <c r="F30">
        <v>41722.917999999998</v>
      </c>
      <c r="G30">
        <v>17</v>
      </c>
      <c r="H30">
        <v>105850.966</v>
      </c>
      <c r="I30">
        <v>140</v>
      </c>
    </row>
    <row r="31" spans="1:26" x14ac:dyDescent="0.35">
      <c r="A31">
        <v>3502705</v>
      </c>
      <c r="B31" t="s">
        <v>50</v>
      </c>
      <c r="C31">
        <v>7</v>
      </c>
      <c r="D31" t="s">
        <v>44</v>
      </c>
      <c r="E31">
        <v>974.322</v>
      </c>
      <c r="F31">
        <v>105235.63099999999</v>
      </c>
      <c r="G31">
        <v>25</v>
      </c>
      <c r="H31">
        <v>227277.821</v>
      </c>
      <c r="I31">
        <v>346</v>
      </c>
    </row>
    <row r="32" spans="1:26" x14ac:dyDescent="0.35">
      <c r="A32">
        <v>3502754</v>
      </c>
      <c r="B32" t="s">
        <v>51</v>
      </c>
      <c r="C32">
        <v>13</v>
      </c>
      <c r="D32" t="s">
        <v>18</v>
      </c>
      <c r="E32">
        <v>145.20400000000001</v>
      </c>
      <c r="F32">
        <v>44686.690999999999</v>
      </c>
      <c r="G32">
        <v>17</v>
      </c>
      <c r="H32">
        <v>194107.049</v>
      </c>
      <c r="I32">
        <v>577</v>
      </c>
    </row>
    <row r="33" spans="1:9" x14ac:dyDescent="0.35">
      <c r="A33">
        <v>3502804</v>
      </c>
      <c r="B33" t="s">
        <v>52</v>
      </c>
      <c r="C33">
        <v>1</v>
      </c>
      <c r="D33" t="s">
        <v>29</v>
      </c>
      <c r="E33">
        <v>1167.126</v>
      </c>
      <c r="F33">
        <v>171716.223</v>
      </c>
      <c r="G33">
        <v>51</v>
      </c>
      <c r="H33">
        <v>608851.46799999999</v>
      </c>
      <c r="I33">
        <v>1579</v>
      </c>
    </row>
    <row r="34" spans="1:9" x14ac:dyDescent="0.35">
      <c r="A34">
        <v>3502903</v>
      </c>
      <c r="B34" t="s">
        <v>53</v>
      </c>
      <c r="C34">
        <v>13</v>
      </c>
      <c r="D34" t="s">
        <v>18</v>
      </c>
      <c r="E34">
        <v>255.327</v>
      </c>
      <c r="F34">
        <v>66966.040999999997</v>
      </c>
      <c r="G34">
        <v>24</v>
      </c>
      <c r="H34">
        <v>350791.01400000002</v>
      </c>
      <c r="I34">
        <v>1243</v>
      </c>
    </row>
    <row r="35" spans="1:9" x14ac:dyDescent="0.35">
      <c r="A35">
        <v>3503000</v>
      </c>
      <c r="B35" t="s">
        <v>54</v>
      </c>
      <c r="C35">
        <v>6</v>
      </c>
      <c r="D35" t="s">
        <v>55</v>
      </c>
      <c r="E35">
        <v>202.82900000000001</v>
      </c>
      <c r="F35">
        <v>31868.983</v>
      </c>
      <c r="G35">
        <v>14</v>
      </c>
      <c r="H35">
        <v>134467.12700000001</v>
      </c>
      <c r="I35">
        <v>196</v>
      </c>
    </row>
    <row r="36" spans="1:9" x14ac:dyDescent="0.35">
      <c r="A36">
        <v>3503109</v>
      </c>
      <c r="B36" t="s">
        <v>56</v>
      </c>
      <c r="C36">
        <v>7</v>
      </c>
      <c r="D36" t="s">
        <v>44</v>
      </c>
      <c r="E36">
        <v>285.90800000000002</v>
      </c>
      <c r="F36">
        <v>32847.315999999999</v>
      </c>
      <c r="G36">
        <v>6</v>
      </c>
      <c r="H36">
        <v>231495.95300000001</v>
      </c>
      <c r="I36">
        <v>393</v>
      </c>
    </row>
    <row r="37" spans="1:9" x14ac:dyDescent="0.35">
      <c r="A37">
        <v>3503158</v>
      </c>
      <c r="B37" t="s">
        <v>57</v>
      </c>
      <c r="C37">
        <v>15</v>
      </c>
      <c r="D37" t="s">
        <v>48</v>
      </c>
      <c r="E37">
        <v>156.90299999999999</v>
      </c>
      <c r="F37">
        <v>5106.3159999999998</v>
      </c>
      <c r="G37">
        <v>4</v>
      </c>
      <c r="H37">
        <v>78579.232999999993</v>
      </c>
      <c r="I37">
        <v>158</v>
      </c>
    </row>
    <row r="38" spans="1:9" x14ac:dyDescent="0.35">
      <c r="A38">
        <v>3503208</v>
      </c>
      <c r="B38" t="s">
        <v>58</v>
      </c>
      <c r="C38">
        <v>5</v>
      </c>
      <c r="D38" t="s">
        <v>38</v>
      </c>
      <c r="E38">
        <v>1003.625</v>
      </c>
      <c r="F38">
        <v>111520.47900000001</v>
      </c>
      <c r="G38">
        <v>36</v>
      </c>
      <c r="H38">
        <v>658246.14199999999</v>
      </c>
      <c r="I38">
        <v>1980</v>
      </c>
    </row>
    <row r="39" spans="1:9" x14ac:dyDescent="0.35">
      <c r="A39">
        <v>3503307</v>
      </c>
      <c r="B39" t="s">
        <v>59</v>
      </c>
      <c r="C39">
        <v>4</v>
      </c>
      <c r="D39" t="s">
        <v>14</v>
      </c>
      <c r="E39">
        <v>644.83100000000002</v>
      </c>
      <c r="F39">
        <v>84096.001000000004</v>
      </c>
      <c r="G39">
        <v>16</v>
      </c>
      <c r="H39">
        <v>558772.18700000003</v>
      </c>
      <c r="I39">
        <v>1338</v>
      </c>
    </row>
    <row r="40" spans="1:9" x14ac:dyDescent="0.35">
      <c r="A40">
        <v>3503356</v>
      </c>
      <c r="B40" t="s">
        <v>60</v>
      </c>
      <c r="C40">
        <v>8</v>
      </c>
      <c r="D40" t="s">
        <v>34</v>
      </c>
      <c r="E40">
        <v>264.904</v>
      </c>
      <c r="F40">
        <v>37438.892999999996</v>
      </c>
      <c r="G40">
        <v>12</v>
      </c>
      <c r="H40">
        <v>135421.64799999999</v>
      </c>
      <c r="I40">
        <v>118</v>
      </c>
    </row>
    <row r="41" spans="1:9" x14ac:dyDescent="0.35">
      <c r="A41">
        <v>3503406</v>
      </c>
      <c r="B41" t="s">
        <v>61</v>
      </c>
      <c r="C41">
        <v>3</v>
      </c>
      <c r="D41" t="s">
        <v>21</v>
      </c>
      <c r="E41">
        <v>504.97300000000001</v>
      </c>
      <c r="F41">
        <v>58532.237000000001</v>
      </c>
      <c r="G41">
        <v>19</v>
      </c>
      <c r="H41">
        <v>343025.78</v>
      </c>
      <c r="I41">
        <v>586</v>
      </c>
    </row>
    <row r="42" spans="1:9" x14ac:dyDescent="0.35">
      <c r="A42">
        <v>3503505</v>
      </c>
      <c r="B42" t="s">
        <v>62</v>
      </c>
      <c r="C42">
        <v>15</v>
      </c>
      <c r="D42" t="s">
        <v>48</v>
      </c>
      <c r="E42">
        <v>305.22699999999998</v>
      </c>
      <c r="F42">
        <v>13531.159</v>
      </c>
      <c r="G42">
        <v>4</v>
      </c>
      <c r="H42">
        <v>121725.51300000001</v>
      </c>
      <c r="I42">
        <v>143</v>
      </c>
    </row>
    <row r="43" spans="1:9" x14ac:dyDescent="0.35">
      <c r="A43">
        <v>3503604</v>
      </c>
      <c r="B43" t="s">
        <v>63</v>
      </c>
      <c r="C43">
        <v>13</v>
      </c>
      <c r="D43" t="s">
        <v>18</v>
      </c>
      <c r="E43">
        <v>85.906999999999996</v>
      </c>
      <c r="F43">
        <v>3203.5970000000002</v>
      </c>
      <c r="G43">
        <v>2</v>
      </c>
      <c r="H43">
        <v>61229.896000000001</v>
      </c>
      <c r="I43">
        <v>101</v>
      </c>
    </row>
    <row r="44" spans="1:9" x14ac:dyDescent="0.35">
      <c r="A44">
        <v>3503703</v>
      </c>
      <c r="B44" t="s">
        <v>64</v>
      </c>
      <c r="C44">
        <v>14</v>
      </c>
      <c r="D44" t="s">
        <v>12</v>
      </c>
      <c r="E44">
        <v>132.624</v>
      </c>
      <c r="F44">
        <v>68545.406000000003</v>
      </c>
      <c r="G44">
        <v>17</v>
      </c>
      <c r="H44">
        <v>138938.06700000001</v>
      </c>
      <c r="I44">
        <v>285</v>
      </c>
    </row>
    <row r="45" spans="1:9" x14ac:dyDescent="0.35">
      <c r="A45">
        <v>3503802</v>
      </c>
      <c r="B45" t="s">
        <v>65</v>
      </c>
      <c r="C45">
        <v>4</v>
      </c>
      <c r="D45" t="s">
        <v>14</v>
      </c>
      <c r="E45">
        <v>178.02600000000001</v>
      </c>
      <c r="F45">
        <v>35707.338000000003</v>
      </c>
      <c r="G45">
        <v>15</v>
      </c>
      <c r="H45">
        <v>217305.21</v>
      </c>
      <c r="I45">
        <v>615</v>
      </c>
    </row>
    <row r="46" spans="1:9" x14ac:dyDescent="0.35">
      <c r="A46">
        <v>3503901</v>
      </c>
      <c r="B46" t="s">
        <v>66</v>
      </c>
      <c r="C46">
        <v>10</v>
      </c>
      <c r="D46" t="s">
        <v>67</v>
      </c>
      <c r="E46">
        <v>96.167000000000002</v>
      </c>
      <c r="F46">
        <v>24946.865000000002</v>
      </c>
      <c r="G46">
        <v>6</v>
      </c>
      <c r="H46">
        <v>164809.34899999999</v>
      </c>
      <c r="I46">
        <v>819</v>
      </c>
    </row>
    <row r="47" spans="1:9" x14ac:dyDescent="0.35">
      <c r="A47">
        <v>3503950</v>
      </c>
      <c r="B47" t="s">
        <v>68</v>
      </c>
      <c r="C47">
        <v>14</v>
      </c>
      <c r="D47" t="s">
        <v>12</v>
      </c>
      <c r="E47">
        <v>69.373000000000005</v>
      </c>
      <c r="F47">
        <v>14995.561</v>
      </c>
      <c r="G47">
        <v>3</v>
      </c>
      <c r="H47">
        <v>77725.327999999994</v>
      </c>
      <c r="I47">
        <v>124</v>
      </c>
    </row>
    <row r="48" spans="1:9" x14ac:dyDescent="0.35">
      <c r="A48">
        <v>3504008</v>
      </c>
      <c r="B48" t="s">
        <v>69</v>
      </c>
      <c r="C48">
        <v>8</v>
      </c>
      <c r="D48" t="s">
        <v>34</v>
      </c>
      <c r="E48">
        <v>460.60899999999998</v>
      </c>
      <c r="F48">
        <v>41572.205999999998</v>
      </c>
      <c r="G48">
        <v>9</v>
      </c>
      <c r="H48">
        <v>418934.67200000002</v>
      </c>
      <c r="I48">
        <v>1601</v>
      </c>
    </row>
    <row r="49" spans="1:9" x14ac:dyDescent="0.35">
      <c r="A49">
        <v>3504107</v>
      </c>
      <c r="B49" t="s">
        <v>70</v>
      </c>
      <c r="C49">
        <v>4</v>
      </c>
      <c r="D49" t="s">
        <v>14</v>
      </c>
      <c r="E49">
        <v>478.52100000000002</v>
      </c>
      <c r="F49">
        <v>85700.505999999994</v>
      </c>
      <c r="G49">
        <v>31</v>
      </c>
      <c r="H49">
        <v>685853.05</v>
      </c>
      <c r="I49">
        <v>1961</v>
      </c>
    </row>
    <row r="50" spans="1:9" x14ac:dyDescent="0.35">
      <c r="A50">
        <v>3504206</v>
      </c>
      <c r="B50" t="s">
        <v>71</v>
      </c>
      <c r="C50">
        <v>1</v>
      </c>
      <c r="D50" t="s">
        <v>29</v>
      </c>
      <c r="E50">
        <v>434.49799999999999</v>
      </c>
      <c r="F50">
        <v>51267.817000000003</v>
      </c>
      <c r="G50">
        <v>9</v>
      </c>
      <c r="H50">
        <v>262432.30699999997</v>
      </c>
      <c r="I50">
        <v>382</v>
      </c>
    </row>
    <row r="51" spans="1:9" x14ac:dyDescent="0.35">
      <c r="A51">
        <v>3504305</v>
      </c>
      <c r="B51" t="s">
        <v>72</v>
      </c>
      <c r="C51">
        <v>3</v>
      </c>
      <c r="D51" t="s">
        <v>21</v>
      </c>
      <c r="E51">
        <v>540.68899999999996</v>
      </c>
      <c r="F51">
        <v>44520.239000000001</v>
      </c>
      <c r="G51">
        <v>8</v>
      </c>
      <c r="H51">
        <v>247890.28700000001</v>
      </c>
      <c r="I51">
        <v>259</v>
      </c>
    </row>
    <row r="52" spans="1:9" x14ac:dyDescent="0.35">
      <c r="A52">
        <v>3504404</v>
      </c>
      <c r="B52" t="s">
        <v>73</v>
      </c>
      <c r="C52">
        <v>1</v>
      </c>
      <c r="D52" t="s">
        <v>29</v>
      </c>
      <c r="E52">
        <v>338.37</v>
      </c>
      <c r="F52">
        <v>39742.033000000003</v>
      </c>
      <c r="G52">
        <v>8</v>
      </c>
      <c r="H52">
        <v>172197.62400000001</v>
      </c>
      <c r="I52">
        <v>271</v>
      </c>
    </row>
    <row r="53" spans="1:9" x14ac:dyDescent="0.35">
      <c r="A53">
        <v>3504503</v>
      </c>
      <c r="B53" t="s">
        <v>74</v>
      </c>
      <c r="C53">
        <v>13</v>
      </c>
      <c r="D53" t="s">
        <v>18</v>
      </c>
      <c r="E53">
        <v>1213.0550000000001</v>
      </c>
      <c r="F53">
        <v>54139.254000000001</v>
      </c>
      <c r="G53">
        <v>11</v>
      </c>
      <c r="H53">
        <v>749719.75100000005</v>
      </c>
      <c r="I53">
        <v>1363</v>
      </c>
    </row>
    <row r="54" spans="1:9" x14ac:dyDescent="0.35">
      <c r="A54">
        <v>3504602</v>
      </c>
      <c r="B54" t="s">
        <v>75</v>
      </c>
      <c r="C54">
        <v>14</v>
      </c>
      <c r="D54" t="s">
        <v>12</v>
      </c>
      <c r="E54">
        <v>110.372</v>
      </c>
      <c r="F54">
        <v>8534.2909999999993</v>
      </c>
      <c r="G54">
        <v>5</v>
      </c>
      <c r="H54">
        <v>148408.31400000001</v>
      </c>
      <c r="I54">
        <v>558</v>
      </c>
    </row>
    <row r="55" spans="1:9" x14ac:dyDescent="0.35">
      <c r="A55">
        <v>3504701</v>
      </c>
      <c r="B55" t="s">
        <v>76</v>
      </c>
      <c r="C55">
        <v>3</v>
      </c>
      <c r="D55" t="s">
        <v>21</v>
      </c>
      <c r="E55">
        <v>91.635000000000005</v>
      </c>
      <c r="F55">
        <v>9348.4969999999994</v>
      </c>
      <c r="G55">
        <v>2</v>
      </c>
      <c r="H55">
        <v>36190.394999999997</v>
      </c>
      <c r="I55">
        <v>36</v>
      </c>
    </row>
    <row r="56" spans="1:9" x14ac:dyDescent="0.35">
      <c r="A56">
        <v>3504800</v>
      </c>
      <c r="B56" t="s">
        <v>77</v>
      </c>
      <c r="C56">
        <v>14</v>
      </c>
      <c r="D56" t="s">
        <v>12</v>
      </c>
      <c r="E56">
        <v>149.881</v>
      </c>
      <c r="F56">
        <v>12930.462</v>
      </c>
      <c r="G56">
        <v>2</v>
      </c>
      <c r="H56">
        <v>141310.51199999999</v>
      </c>
      <c r="I56">
        <v>238</v>
      </c>
    </row>
    <row r="57" spans="1:9" x14ac:dyDescent="0.35">
      <c r="A57">
        <v>3504909</v>
      </c>
      <c r="B57" t="s">
        <v>78</v>
      </c>
      <c r="C57">
        <v>15</v>
      </c>
      <c r="D57" t="s">
        <v>48</v>
      </c>
      <c r="E57">
        <v>616.42700000000002</v>
      </c>
      <c r="F57">
        <v>7806.2929999999997</v>
      </c>
      <c r="G57">
        <v>4</v>
      </c>
      <c r="H57">
        <v>304663.83799999999</v>
      </c>
      <c r="I57">
        <v>537</v>
      </c>
    </row>
    <row r="58" spans="1:9" x14ac:dyDescent="0.35">
      <c r="A58">
        <v>3505005</v>
      </c>
      <c r="B58" t="s">
        <v>79</v>
      </c>
      <c r="C58">
        <v>7</v>
      </c>
      <c r="D58" t="s">
        <v>44</v>
      </c>
      <c r="E58">
        <v>153.142</v>
      </c>
      <c r="F58">
        <v>7517.5279999999993</v>
      </c>
      <c r="G58">
        <v>2</v>
      </c>
      <c r="H58">
        <v>114819.149</v>
      </c>
      <c r="I58">
        <v>115</v>
      </c>
    </row>
    <row r="59" spans="1:9" x14ac:dyDescent="0.35">
      <c r="A59">
        <v>3505104</v>
      </c>
      <c r="B59" t="s">
        <v>80</v>
      </c>
      <c r="C59">
        <v>1</v>
      </c>
      <c r="D59" t="s">
        <v>29</v>
      </c>
      <c r="E59">
        <v>205.21199999999999</v>
      </c>
      <c r="F59">
        <v>28626.382000000001</v>
      </c>
      <c r="G59">
        <v>7</v>
      </c>
      <c r="H59">
        <v>112087.35400000001</v>
      </c>
      <c r="I59">
        <v>147</v>
      </c>
    </row>
    <row r="60" spans="1:9" x14ac:dyDescent="0.35">
      <c r="A60">
        <v>3505203</v>
      </c>
      <c r="B60" t="s">
        <v>81</v>
      </c>
      <c r="C60">
        <v>3</v>
      </c>
      <c r="D60" t="s">
        <v>21</v>
      </c>
      <c r="E60">
        <v>444.40499999999997</v>
      </c>
      <c r="F60">
        <v>58447.915000000001</v>
      </c>
      <c r="G60">
        <v>20</v>
      </c>
      <c r="H60">
        <v>247317.49600000001</v>
      </c>
      <c r="I60">
        <v>702</v>
      </c>
    </row>
    <row r="61" spans="1:9" x14ac:dyDescent="0.35">
      <c r="A61">
        <v>3505302</v>
      </c>
      <c r="B61" t="s">
        <v>82</v>
      </c>
      <c r="C61">
        <v>3</v>
      </c>
      <c r="D61" t="s">
        <v>21</v>
      </c>
      <c r="E61">
        <v>150.12100000000001</v>
      </c>
      <c r="F61">
        <v>33094.724999999999</v>
      </c>
      <c r="G61">
        <v>15</v>
      </c>
      <c r="H61">
        <v>145148.609</v>
      </c>
      <c r="I61">
        <v>479</v>
      </c>
    </row>
    <row r="62" spans="1:9" x14ac:dyDescent="0.35">
      <c r="A62">
        <v>3505351</v>
      </c>
      <c r="B62" t="s">
        <v>83</v>
      </c>
      <c r="C62">
        <v>7</v>
      </c>
      <c r="D62" t="s">
        <v>44</v>
      </c>
      <c r="E62">
        <v>405.68099999999998</v>
      </c>
      <c r="F62">
        <v>38147.050000000003</v>
      </c>
      <c r="G62">
        <v>9</v>
      </c>
      <c r="H62">
        <v>169897.38200000001</v>
      </c>
      <c r="I62">
        <v>137</v>
      </c>
    </row>
    <row r="63" spans="1:9" x14ac:dyDescent="0.35">
      <c r="A63">
        <v>3505401</v>
      </c>
      <c r="B63" t="s">
        <v>84</v>
      </c>
      <c r="C63">
        <v>16</v>
      </c>
      <c r="D63" t="s">
        <v>85</v>
      </c>
      <c r="E63">
        <v>1007.67</v>
      </c>
      <c r="F63">
        <v>25141.94</v>
      </c>
      <c r="G63">
        <v>4</v>
      </c>
      <c r="H63">
        <v>238085.65599999999</v>
      </c>
      <c r="I63">
        <v>216</v>
      </c>
    </row>
    <row r="64" spans="1:9" x14ac:dyDescent="0.35">
      <c r="A64">
        <v>3505500</v>
      </c>
      <c r="B64" t="s">
        <v>86</v>
      </c>
      <c r="C64">
        <v>2</v>
      </c>
      <c r="D64" t="s">
        <v>25</v>
      </c>
      <c r="E64">
        <v>1566.1610000000001</v>
      </c>
      <c r="F64">
        <v>115887.084</v>
      </c>
      <c r="G64">
        <v>21</v>
      </c>
      <c r="H64">
        <v>925134.80200000003</v>
      </c>
      <c r="I64">
        <v>2187</v>
      </c>
    </row>
    <row r="65" spans="1:9" x14ac:dyDescent="0.35">
      <c r="A65">
        <v>3505609</v>
      </c>
      <c r="B65" t="s">
        <v>87</v>
      </c>
      <c r="C65">
        <v>11</v>
      </c>
      <c r="D65" t="s">
        <v>27</v>
      </c>
      <c r="E65">
        <v>146.02500000000001</v>
      </c>
      <c r="F65">
        <v>35915.053</v>
      </c>
      <c r="G65">
        <v>7</v>
      </c>
      <c r="H65">
        <v>50807.042000000001</v>
      </c>
      <c r="I65">
        <v>147</v>
      </c>
    </row>
    <row r="66" spans="1:9" x14ac:dyDescent="0.35">
      <c r="A66">
        <v>3505708</v>
      </c>
      <c r="B66" t="s">
        <v>88</v>
      </c>
      <c r="C66">
        <v>10</v>
      </c>
      <c r="D66" t="s">
        <v>67</v>
      </c>
      <c r="E66">
        <v>65.700999999999993</v>
      </c>
      <c r="F66">
        <v>6414.9639999999999</v>
      </c>
      <c r="G66">
        <v>7</v>
      </c>
      <c r="H66">
        <v>67919.673999999999</v>
      </c>
      <c r="I66">
        <v>458</v>
      </c>
    </row>
    <row r="67" spans="1:9" x14ac:dyDescent="0.35">
      <c r="A67">
        <v>3505807</v>
      </c>
      <c r="B67" t="s">
        <v>89</v>
      </c>
      <c r="C67">
        <v>8</v>
      </c>
      <c r="D67" t="s">
        <v>34</v>
      </c>
      <c r="E67">
        <v>170.91200000000001</v>
      </c>
      <c r="F67">
        <v>67752.34</v>
      </c>
      <c r="G67">
        <v>34</v>
      </c>
      <c r="H67">
        <v>164893.94899999999</v>
      </c>
      <c r="I67">
        <v>291</v>
      </c>
    </row>
    <row r="68" spans="1:9" x14ac:dyDescent="0.35">
      <c r="A68">
        <v>3505906</v>
      </c>
      <c r="B68" t="s">
        <v>90</v>
      </c>
      <c r="C68">
        <v>6</v>
      </c>
      <c r="D68" t="s">
        <v>55</v>
      </c>
      <c r="E68">
        <v>849.52599999999995</v>
      </c>
      <c r="F68">
        <v>105133.28599999999</v>
      </c>
      <c r="G68">
        <v>17</v>
      </c>
      <c r="H68">
        <v>480125.91200000001</v>
      </c>
      <c r="I68">
        <v>904</v>
      </c>
    </row>
    <row r="69" spans="1:9" x14ac:dyDescent="0.35">
      <c r="A69">
        <v>3506003</v>
      </c>
      <c r="B69" t="s">
        <v>91</v>
      </c>
      <c r="C69">
        <v>3</v>
      </c>
      <c r="D69" t="s">
        <v>21</v>
      </c>
      <c r="E69">
        <v>667.68399999999997</v>
      </c>
      <c r="F69">
        <v>46502.000999999997</v>
      </c>
      <c r="G69">
        <v>17</v>
      </c>
      <c r="H69">
        <v>611154.27800000005</v>
      </c>
      <c r="I69">
        <v>2500</v>
      </c>
    </row>
    <row r="70" spans="1:9" x14ac:dyDescent="0.35">
      <c r="A70">
        <v>3506102</v>
      </c>
      <c r="B70" t="s">
        <v>92</v>
      </c>
      <c r="C70">
        <v>2</v>
      </c>
      <c r="D70" t="s">
        <v>25</v>
      </c>
      <c r="E70">
        <v>683.19200000000001</v>
      </c>
      <c r="F70">
        <v>51231.779000000002</v>
      </c>
      <c r="G70">
        <v>13</v>
      </c>
      <c r="H70">
        <v>439775.08</v>
      </c>
      <c r="I70">
        <v>867</v>
      </c>
    </row>
    <row r="71" spans="1:9" x14ac:dyDescent="0.35">
      <c r="A71">
        <v>3506201</v>
      </c>
      <c r="B71" t="s">
        <v>93</v>
      </c>
      <c r="C71">
        <v>1</v>
      </c>
      <c r="D71" t="s">
        <v>29</v>
      </c>
      <c r="E71">
        <v>301.68700000000001</v>
      </c>
      <c r="F71">
        <v>29120.29</v>
      </c>
      <c r="G71">
        <v>4</v>
      </c>
      <c r="H71">
        <v>82967.804000000004</v>
      </c>
      <c r="I71">
        <v>124</v>
      </c>
    </row>
    <row r="72" spans="1:9" x14ac:dyDescent="0.35">
      <c r="A72">
        <v>3506300</v>
      </c>
      <c r="B72" t="s">
        <v>94</v>
      </c>
      <c r="C72">
        <v>8</v>
      </c>
      <c r="D72" t="s">
        <v>34</v>
      </c>
      <c r="E72">
        <v>244.15799999999999</v>
      </c>
      <c r="F72">
        <v>32800.076999999997</v>
      </c>
      <c r="G72">
        <v>12</v>
      </c>
      <c r="H72">
        <v>152972.68400000001</v>
      </c>
      <c r="I72">
        <v>234</v>
      </c>
    </row>
    <row r="73" spans="1:9" x14ac:dyDescent="0.35">
      <c r="A73">
        <v>3506359</v>
      </c>
      <c r="B73" t="s">
        <v>95</v>
      </c>
      <c r="C73">
        <v>12</v>
      </c>
      <c r="D73" t="s">
        <v>96</v>
      </c>
      <c r="E73">
        <v>491.54599999999999</v>
      </c>
      <c r="F73">
        <v>7654.04</v>
      </c>
      <c r="G73">
        <v>4</v>
      </c>
      <c r="H73">
        <v>60593.652000000002</v>
      </c>
      <c r="I73">
        <v>424</v>
      </c>
    </row>
    <row r="74" spans="1:9" x14ac:dyDescent="0.35">
      <c r="A74">
        <v>3506409</v>
      </c>
      <c r="B74" t="s">
        <v>97</v>
      </c>
      <c r="C74">
        <v>1</v>
      </c>
      <c r="D74" t="s">
        <v>29</v>
      </c>
      <c r="E74">
        <v>158.02500000000001</v>
      </c>
      <c r="F74">
        <v>31458.71</v>
      </c>
      <c r="G74">
        <v>9</v>
      </c>
      <c r="H74">
        <v>119122.90399999999</v>
      </c>
      <c r="I74">
        <v>185</v>
      </c>
    </row>
    <row r="75" spans="1:9" x14ac:dyDescent="0.35">
      <c r="A75">
        <v>3506508</v>
      </c>
      <c r="B75" t="s">
        <v>98</v>
      </c>
      <c r="C75">
        <v>1</v>
      </c>
      <c r="D75" t="s">
        <v>29</v>
      </c>
      <c r="E75">
        <v>530.03099999999995</v>
      </c>
      <c r="F75">
        <v>83150.948000000004</v>
      </c>
      <c r="G75">
        <v>23</v>
      </c>
      <c r="H75">
        <v>361546.75</v>
      </c>
      <c r="I75">
        <v>723</v>
      </c>
    </row>
    <row r="76" spans="1:9" x14ac:dyDescent="0.35">
      <c r="A76">
        <v>3506607</v>
      </c>
      <c r="B76" t="s">
        <v>99</v>
      </c>
      <c r="C76">
        <v>10</v>
      </c>
      <c r="D76" t="s">
        <v>67</v>
      </c>
      <c r="E76">
        <v>317.40600000000001</v>
      </c>
      <c r="F76">
        <v>61710.218999999997</v>
      </c>
      <c r="G76">
        <v>35</v>
      </c>
      <c r="H76">
        <v>207122.00099999999</v>
      </c>
      <c r="I76">
        <v>537</v>
      </c>
    </row>
    <row r="77" spans="1:9" x14ac:dyDescent="0.35">
      <c r="A77">
        <v>3506706</v>
      </c>
      <c r="B77" t="s">
        <v>100</v>
      </c>
      <c r="C77">
        <v>5</v>
      </c>
      <c r="D77" t="s">
        <v>38</v>
      </c>
      <c r="E77">
        <v>690.74800000000005</v>
      </c>
      <c r="F77">
        <v>32826.838000000003</v>
      </c>
      <c r="G77">
        <v>7</v>
      </c>
      <c r="H77">
        <v>392971.15600000002</v>
      </c>
      <c r="I77">
        <v>1195</v>
      </c>
    </row>
    <row r="78" spans="1:9" x14ac:dyDescent="0.35">
      <c r="A78">
        <v>3506805</v>
      </c>
      <c r="B78" t="s">
        <v>101</v>
      </c>
      <c r="C78">
        <v>3</v>
      </c>
      <c r="D78" t="s">
        <v>21</v>
      </c>
      <c r="E78">
        <v>363.92599999999999</v>
      </c>
      <c r="F78">
        <v>28624.776999999998</v>
      </c>
      <c r="G78">
        <v>9</v>
      </c>
      <c r="H78">
        <v>200770.30600000001</v>
      </c>
      <c r="I78">
        <v>387</v>
      </c>
    </row>
    <row r="79" spans="1:9" x14ac:dyDescent="0.35">
      <c r="A79">
        <v>3506904</v>
      </c>
      <c r="B79" t="s">
        <v>102</v>
      </c>
      <c r="C79">
        <v>13</v>
      </c>
      <c r="D79" t="s">
        <v>18</v>
      </c>
      <c r="E79">
        <v>653.54100000000005</v>
      </c>
      <c r="F79">
        <v>47648.254999999997</v>
      </c>
      <c r="G79">
        <v>8</v>
      </c>
      <c r="H79">
        <v>397888.58100000001</v>
      </c>
      <c r="I79">
        <v>538</v>
      </c>
    </row>
    <row r="80" spans="1:9" x14ac:dyDescent="0.35">
      <c r="A80">
        <v>3507001</v>
      </c>
      <c r="B80" t="s">
        <v>103</v>
      </c>
      <c r="C80">
        <v>13</v>
      </c>
      <c r="D80" t="s">
        <v>18</v>
      </c>
      <c r="E80">
        <v>248.95400000000001</v>
      </c>
      <c r="F80">
        <v>56342.235999999997</v>
      </c>
      <c r="G80">
        <v>26</v>
      </c>
      <c r="H80">
        <v>234619.74600000001</v>
      </c>
      <c r="I80">
        <v>740</v>
      </c>
    </row>
    <row r="81" spans="1:9" x14ac:dyDescent="0.35">
      <c r="A81">
        <v>3507100</v>
      </c>
      <c r="B81" t="s">
        <v>104</v>
      </c>
      <c r="C81">
        <v>4</v>
      </c>
      <c r="D81" t="s">
        <v>14</v>
      </c>
      <c r="E81">
        <v>108.366</v>
      </c>
      <c r="F81">
        <v>27872.89</v>
      </c>
      <c r="G81">
        <v>19</v>
      </c>
      <c r="H81">
        <v>111615.16499999999</v>
      </c>
      <c r="I81">
        <v>332</v>
      </c>
    </row>
    <row r="82" spans="1:9" x14ac:dyDescent="0.35">
      <c r="A82">
        <v>3507159</v>
      </c>
      <c r="B82" t="s">
        <v>105</v>
      </c>
      <c r="C82">
        <v>7</v>
      </c>
      <c r="D82" t="s">
        <v>44</v>
      </c>
      <c r="E82">
        <v>133.578</v>
      </c>
      <c r="F82">
        <v>20065.793000000001</v>
      </c>
      <c r="G82">
        <v>9</v>
      </c>
      <c r="H82">
        <v>75638.264999999999</v>
      </c>
      <c r="I82">
        <v>65</v>
      </c>
    </row>
    <row r="83" spans="1:9" x14ac:dyDescent="0.35">
      <c r="A83">
        <v>3507209</v>
      </c>
      <c r="B83" t="s">
        <v>106</v>
      </c>
      <c r="C83">
        <v>8</v>
      </c>
      <c r="D83" t="s">
        <v>34</v>
      </c>
      <c r="E83">
        <v>118.95099999999999</v>
      </c>
      <c r="F83">
        <v>15813.348</v>
      </c>
      <c r="G83">
        <v>2</v>
      </c>
      <c r="H83">
        <v>71713.422000000006</v>
      </c>
      <c r="I83">
        <v>98</v>
      </c>
    </row>
    <row r="84" spans="1:9" x14ac:dyDescent="0.35">
      <c r="A84">
        <v>3507308</v>
      </c>
      <c r="B84" t="s">
        <v>107</v>
      </c>
      <c r="C84">
        <v>3</v>
      </c>
      <c r="D84" t="s">
        <v>21</v>
      </c>
      <c r="E84">
        <v>122.11</v>
      </c>
      <c r="F84">
        <v>14525.289000000001</v>
      </c>
      <c r="G84">
        <v>6</v>
      </c>
      <c r="H84">
        <v>85859.197</v>
      </c>
      <c r="I84">
        <v>140</v>
      </c>
    </row>
    <row r="85" spans="1:9" x14ac:dyDescent="0.35">
      <c r="A85">
        <v>3507407</v>
      </c>
      <c r="B85" t="s">
        <v>108</v>
      </c>
      <c r="C85">
        <v>5</v>
      </c>
      <c r="D85" t="s">
        <v>38</v>
      </c>
      <c r="E85">
        <v>552.25599999999997</v>
      </c>
      <c r="F85">
        <v>20055.878000000001</v>
      </c>
      <c r="G85">
        <v>6</v>
      </c>
      <c r="H85">
        <v>286655.587</v>
      </c>
      <c r="I85">
        <v>506</v>
      </c>
    </row>
    <row r="86" spans="1:9" x14ac:dyDescent="0.35">
      <c r="A86">
        <v>3507456</v>
      </c>
      <c r="B86" t="s">
        <v>109</v>
      </c>
      <c r="C86">
        <v>3</v>
      </c>
      <c r="D86" t="s">
        <v>21</v>
      </c>
      <c r="E86">
        <v>347.98899999999998</v>
      </c>
      <c r="F86">
        <v>23282.535</v>
      </c>
      <c r="G86">
        <v>18</v>
      </c>
      <c r="H86">
        <v>103734.357</v>
      </c>
      <c r="I86">
        <v>166</v>
      </c>
    </row>
    <row r="87" spans="1:9" x14ac:dyDescent="0.35">
      <c r="A87">
        <v>3507506</v>
      </c>
      <c r="B87" t="s">
        <v>110</v>
      </c>
      <c r="C87">
        <v>13</v>
      </c>
      <c r="D87" t="s">
        <v>18</v>
      </c>
      <c r="E87">
        <v>1482.6420000000001</v>
      </c>
      <c r="F87">
        <v>97200.138000000006</v>
      </c>
      <c r="G87">
        <v>22</v>
      </c>
      <c r="H87">
        <v>746563.55</v>
      </c>
      <c r="I87">
        <v>1554</v>
      </c>
    </row>
    <row r="88" spans="1:9" x14ac:dyDescent="0.35">
      <c r="A88">
        <v>3507605</v>
      </c>
      <c r="B88" t="s">
        <v>111</v>
      </c>
      <c r="C88">
        <v>4</v>
      </c>
      <c r="D88" t="s">
        <v>14</v>
      </c>
      <c r="E88">
        <v>512.58399999999995</v>
      </c>
      <c r="F88">
        <v>76061.233999999997</v>
      </c>
      <c r="G88">
        <v>34</v>
      </c>
      <c r="H88">
        <v>553719.97100000002</v>
      </c>
      <c r="I88">
        <v>1575</v>
      </c>
    </row>
    <row r="89" spans="1:9" x14ac:dyDescent="0.35">
      <c r="A89">
        <v>3507704</v>
      </c>
      <c r="B89" t="s">
        <v>112</v>
      </c>
      <c r="C89">
        <v>1</v>
      </c>
      <c r="D89" t="s">
        <v>29</v>
      </c>
      <c r="E89">
        <v>195.17599999999999</v>
      </c>
      <c r="F89">
        <v>57468.305999999997</v>
      </c>
      <c r="G89">
        <v>17</v>
      </c>
      <c r="H89">
        <v>93558.797999999995</v>
      </c>
      <c r="I89">
        <v>157</v>
      </c>
    </row>
    <row r="90" spans="1:9" x14ac:dyDescent="0.35">
      <c r="A90">
        <v>3507753</v>
      </c>
      <c r="B90" t="s">
        <v>113</v>
      </c>
      <c r="C90">
        <v>1</v>
      </c>
      <c r="D90" t="s">
        <v>29</v>
      </c>
      <c r="E90">
        <v>105.68899999999999</v>
      </c>
      <c r="F90">
        <v>7881.3159999999998</v>
      </c>
      <c r="G90">
        <v>4</v>
      </c>
      <c r="H90">
        <v>79919.597999999998</v>
      </c>
      <c r="I90">
        <v>117</v>
      </c>
    </row>
    <row r="91" spans="1:9" x14ac:dyDescent="0.35">
      <c r="A91">
        <v>3507803</v>
      </c>
      <c r="B91" t="s">
        <v>114</v>
      </c>
      <c r="C91">
        <v>11</v>
      </c>
      <c r="D91" t="s">
        <v>27</v>
      </c>
      <c r="E91">
        <v>278.45800000000003</v>
      </c>
      <c r="F91">
        <v>48056.201999999997</v>
      </c>
      <c r="G91">
        <v>7</v>
      </c>
      <c r="H91">
        <v>199841.01699999999</v>
      </c>
      <c r="I91">
        <v>426</v>
      </c>
    </row>
    <row r="92" spans="1:9" x14ac:dyDescent="0.35">
      <c r="A92">
        <v>3507902</v>
      </c>
      <c r="B92" t="s">
        <v>115</v>
      </c>
      <c r="C92">
        <v>4</v>
      </c>
      <c r="D92" t="s">
        <v>14</v>
      </c>
      <c r="E92">
        <v>1101.374</v>
      </c>
      <c r="F92">
        <v>49870.178999999996</v>
      </c>
      <c r="G92">
        <v>10</v>
      </c>
      <c r="H92">
        <v>555898.30000000005</v>
      </c>
      <c r="I92">
        <v>693</v>
      </c>
    </row>
    <row r="93" spans="1:9" x14ac:dyDescent="0.35">
      <c r="A93">
        <v>3508009</v>
      </c>
      <c r="B93" t="s">
        <v>116</v>
      </c>
      <c r="C93">
        <v>7</v>
      </c>
      <c r="D93" t="s">
        <v>44</v>
      </c>
      <c r="E93">
        <v>1195.9100000000001</v>
      </c>
      <c r="F93">
        <v>80038.115000000005</v>
      </c>
      <c r="G93">
        <v>12</v>
      </c>
      <c r="H93">
        <v>672337.82</v>
      </c>
      <c r="I93">
        <v>1785</v>
      </c>
    </row>
    <row r="94" spans="1:9" x14ac:dyDescent="0.35">
      <c r="A94">
        <v>3508108</v>
      </c>
      <c r="B94" t="s">
        <v>117</v>
      </c>
      <c r="C94">
        <v>1</v>
      </c>
      <c r="D94" t="s">
        <v>29</v>
      </c>
      <c r="E94">
        <v>326.92099999999999</v>
      </c>
      <c r="F94">
        <v>36681.902999999998</v>
      </c>
      <c r="G94">
        <v>12</v>
      </c>
      <c r="H94">
        <v>236591.52</v>
      </c>
      <c r="I94">
        <v>514</v>
      </c>
    </row>
    <row r="95" spans="1:9" x14ac:dyDescent="0.35">
      <c r="A95">
        <v>3508207</v>
      </c>
      <c r="B95" t="s">
        <v>118</v>
      </c>
      <c r="C95">
        <v>6</v>
      </c>
      <c r="D95" t="s">
        <v>55</v>
      </c>
      <c r="E95">
        <v>266.42</v>
      </c>
      <c r="F95">
        <v>37952.334999999999</v>
      </c>
      <c r="G95">
        <v>9</v>
      </c>
      <c r="H95">
        <v>184142.068</v>
      </c>
      <c r="I95">
        <v>288</v>
      </c>
    </row>
    <row r="96" spans="1:9" x14ac:dyDescent="0.35">
      <c r="A96">
        <v>3508306</v>
      </c>
      <c r="B96" t="s">
        <v>119</v>
      </c>
      <c r="C96">
        <v>3</v>
      </c>
      <c r="D96" t="s">
        <v>21</v>
      </c>
      <c r="E96">
        <v>239.97399999999999</v>
      </c>
      <c r="F96">
        <v>8552.0910000000003</v>
      </c>
      <c r="G96">
        <v>8</v>
      </c>
      <c r="H96">
        <v>131556.29399999999</v>
      </c>
      <c r="I96">
        <v>142</v>
      </c>
    </row>
    <row r="97" spans="1:9" x14ac:dyDescent="0.35">
      <c r="A97">
        <v>3508405</v>
      </c>
      <c r="B97" t="s">
        <v>120</v>
      </c>
      <c r="C97">
        <v>4</v>
      </c>
      <c r="D97" t="s">
        <v>14</v>
      </c>
      <c r="E97">
        <v>260.23399999999998</v>
      </c>
      <c r="F97">
        <v>32718.766</v>
      </c>
      <c r="G97">
        <v>10</v>
      </c>
      <c r="H97">
        <v>246459.889</v>
      </c>
      <c r="I97">
        <v>903</v>
      </c>
    </row>
    <row r="98" spans="1:9" x14ac:dyDescent="0.35">
      <c r="A98">
        <v>3508504</v>
      </c>
      <c r="B98" t="s">
        <v>121</v>
      </c>
      <c r="C98">
        <v>15</v>
      </c>
      <c r="D98" t="s">
        <v>48</v>
      </c>
      <c r="E98">
        <v>368.99</v>
      </c>
      <c r="F98">
        <v>32932.205999999998</v>
      </c>
      <c r="G98">
        <v>5</v>
      </c>
      <c r="H98">
        <v>342118.29599999997</v>
      </c>
      <c r="I98">
        <v>1098</v>
      </c>
    </row>
    <row r="99" spans="1:9" x14ac:dyDescent="0.35">
      <c r="A99">
        <v>3508603</v>
      </c>
      <c r="B99" t="s">
        <v>122</v>
      </c>
      <c r="C99">
        <v>15</v>
      </c>
      <c r="D99" t="s">
        <v>48</v>
      </c>
      <c r="E99">
        <v>287.99</v>
      </c>
      <c r="F99">
        <v>51028.957000000002</v>
      </c>
      <c r="G99">
        <v>15</v>
      </c>
      <c r="H99">
        <v>214415.584</v>
      </c>
      <c r="I99">
        <v>387</v>
      </c>
    </row>
    <row r="100" spans="1:9" x14ac:dyDescent="0.35">
      <c r="A100">
        <v>3508702</v>
      </c>
      <c r="B100" t="s">
        <v>123</v>
      </c>
      <c r="C100">
        <v>4</v>
      </c>
      <c r="D100" t="s">
        <v>14</v>
      </c>
      <c r="E100">
        <v>468.21499999999997</v>
      </c>
      <c r="F100">
        <v>51220.77</v>
      </c>
      <c r="G100">
        <v>8</v>
      </c>
      <c r="H100">
        <v>605700.26399999997</v>
      </c>
      <c r="I100">
        <v>1074</v>
      </c>
    </row>
    <row r="101" spans="1:9" x14ac:dyDescent="0.35">
      <c r="A101">
        <v>3508801</v>
      </c>
      <c r="B101" t="s">
        <v>124</v>
      </c>
      <c r="C101">
        <v>3</v>
      </c>
      <c r="D101" t="s">
        <v>21</v>
      </c>
      <c r="E101">
        <v>920.28</v>
      </c>
      <c r="F101">
        <v>46284.576999999997</v>
      </c>
      <c r="G101">
        <v>4</v>
      </c>
      <c r="H101">
        <v>272603.59600000002</v>
      </c>
      <c r="I101">
        <v>403</v>
      </c>
    </row>
    <row r="102" spans="1:9" x14ac:dyDescent="0.35">
      <c r="A102">
        <v>3508900</v>
      </c>
      <c r="B102" t="s">
        <v>125</v>
      </c>
      <c r="C102">
        <v>9</v>
      </c>
      <c r="D102" t="s">
        <v>10</v>
      </c>
      <c r="E102">
        <v>253.352</v>
      </c>
      <c r="F102">
        <v>41649.144</v>
      </c>
      <c r="G102">
        <v>11</v>
      </c>
      <c r="H102">
        <v>132002.913</v>
      </c>
      <c r="I102">
        <v>167</v>
      </c>
    </row>
    <row r="103" spans="1:9" x14ac:dyDescent="0.35">
      <c r="A103">
        <v>3509007</v>
      </c>
      <c r="B103" t="s">
        <v>126</v>
      </c>
      <c r="C103">
        <v>10</v>
      </c>
      <c r="D103" t="s">
        <v>67</v>
      </c>
      <c r="E103">
        <v>97.641999999999996</v>
      </c>
      <c r="F103">
        <v>34279.044000000002</v>
      </c>
      <c r="G103">
        <v>13</v>
      </c>
      <c r="H103">
        <v>96940.577999999994</v>
      </c>
      <c r="I103">
        <v>570</v>
      </c>
    </row>
    <row r="104" spans="1:9" x14ac:dyDescent="0.35">
      <c r="A104">
        <v>3509106</v>
      </c>
      <c r="B104" t="s">
        <v>127</v>
      </c>
      <c r="C104">
        <v>9</v>
      </c>
      <c r="D104" t="s">
        <v>10</v>
      </c>
      <c r="E104">
        <v>551.15899999999999</v>
      </c>
      <c r="F104">
        <v>73321.569000000003</v>
      </c>
      <c r="G104">
        <v>18</v>
      </c>
      <c r="H104">
        <v>320477.77600000001</v>
      </c>
      <c r="I104">
        <v>247</v>
      </c>
    </row>
    <row r="105" spans="1:9" x14ac:dyDescent="0.35">
      <c r="A105">
        <v>3509205</v>
      </c>
      <c r="B105" t="s">
        <v>128</v>
      </c>
      <c r="C105">
        <v>10</v>
      </c>
      <c r="D105" t="s">
        <v>67</v>
      </c>
      <c r="E105">
        <v>131.386</v>
      </c>
      <c r="F105">
        <v>45314.599000000002</v>
      </c>
      <c r="G105">
        <v>14</v>
      </c>
      <c r="H105">
        <v>165666.60999999999</v>
      </c>
      <c r="I105">
        <v>826</v>
      </c>
    </row>
    <row r="106" spans="1:9" x14ac:dyDescent="0.35">
      <c r="A106">
        <v>3509254</v>
      </c>
      <c r="B106" t="s">
        <v>129</v>
      </c>
      <c r="C106">
        <v>16</v>
      </c>
      <c r="D106" t="s">
        <v>85</v>
      </c>
      <c r="E106">
        <v>454.43599999999998</v>
      </c>
      <c r="F106">
        <v>22203.531999999999</v>
      </c>
      <c r="G106">
        <v>6</v>
      </c>
      <c r="H106">
        <v>186875.09599999999</v>
      </c>
      <c r="I106">
        <v>346</v>
      </c>
    </row>
    <row r="107" spans="1:9" x14ac:dyDescent="0.35">
      <c r="A107">
        <v>3509304</v>
      </c>
      <c r="B107" t="s">
        <v>130</v>
      </c>
      <c r="C107">
        <v>2</v>
      </c>
      <c r="D107" t="s">
        <v>25</v>
      </c>
      <c r="E107">
        <v>176.929</v>
      </c>
      <c r="F107">
        <v>37377.112999999998</v>
      </c>
      <c r="G107">
        <v>17</v>
      </c>
      <c r="H107">
        <v>133211.592</v>
      </c>
      <c r="I107">
        <v>199</v>
      </c>
    </row>
    <row r="108" spans="1:9" x14ac:dyDescent="0.35">
      <c r="A108">
        <v>3509403</v>
      </c>
      <c r="B108" t="s">
        <v>131</v>
      </c>
      <c r="C108">
        <v>11</v>
      </c>
      <c r="D108" t="s">
        <v>27</v>
      </c>
      <c r="E108">
        <v>660.08799999999997</v>
      </c>
      <c r="F108">
        <v>66883.048999999999</v>
      </c>
      <c r="G108">
        <v>10</v>
      </c>
      <c r="H108">
        <v>382692.978</v>
      </c>
      <c r="I108">
        <v>677</v>
      </c>
    </row>
    <row r="109" spans="1:9" x14ac:dyDescent="0.35">
      <c r="A109">
        <v>3509452</v>
      </c>
      <c r="B109" t="s">
        <v>132</v>
      </c>
      <c r="C109">
        <v>7</v>
      </c>
      <c r="D109" t="s">
        <v>44</v>
      </c>
      <c r="E109">
        <v>185.03100000000001</v>
      </c>
      <c r="F109">
        <v>19631.273000000001</v>
      </c>
      <c r="G109">
        <v>6</v>
      </c>
      <c r="H109">
        <v>99040.339000000007</v>
      </c>
      <c r="I109">
        <v>138</v>
      </c>
    </row>
    <row r="110" spans="1:9" x14ac:dyDescent="0.35">
      <c r="A110">
        <v>3509502</v>
      </c>
      <c r="B110" t="s">
        <v>133</v>
      </c>
      <c r="C110">
        <v>4</v>
      </c>
      <c r="D110" t="s">
        <v>14</v>
      </c>
      <c r="E110">
        <v>794.57100000000003</v>
      </c>
      <c r="F110">
        <v>149801.549</v>
      </c>
      <c r="G110">
        <v>62</v>
      </c>
      <c r="H110">
        <v>871360.48800000001</v>
      </c>
      <c r="I110">
        <v>5048</v>
      </c>
    </row>
    <row r="111" spans="1:9" x14ac:dyDescent="0.35">
      <c r="A111">
        <v>3509601</v>
      </c>
      <c r="B111" t="s">
        <v>134</v>
      </c>
      <c r="C111">
        <v>4</v>
      </c>
      <c r="D111" t="s">
        <v>14</v>
      </c>
      <c r="E111">
        <v>79.403000000000006</v>
      </c>
      <c r="F111">
        <v>47987.171000000002</v>
      </c>
      <c r="G111">
        <v>32</v>
      </c>
      <c r="H111">
        <v>133843.326</v>
      </c>
      <c r="I111">
        <v>628</v>
      </c>
    </row>
    <row r="112" spans="1:9" x14ac:dyDescent="0.35">
      <c r="A112">
        <v>3509700</v>
      </c>
      <c r="B112" t="s">
        <v>135</v>
      </c>
      <c r="C112">
        <v>15</v>
      </c>
      <c r="D112" t="s">
        <v>48</v>
      </c>
      <c r="E112">
        <v>290.52</v>
      </c>
      <c r="F112">
        <v>72635.027000000002</v>
      </c>
      <c r="G112">
        <v>25</v>
      </c>
      <c r="H112">
        <v>216595.378</v>
      </c>
      <c r="I112">
        <v>836</v>
      </c>
    </row>
    <row r="113" spans="1:9" x14ac:dyDescent="0.35">
      <c r="A113">
        <v>3509809</v>
      </c>
      <c r="B113" t="s">
        <v>136</v>
      </c>
      <c r="C113">
        <v>8</v>
      </c>
      <c r="D113" t="s">
        <v>34</v>
      </c>
      <c r="E113">
        <v>484.19900000000001</v>
      </c>
      <c r="F113">
        <v>33480.692000000003</v>
      </c>
      <c r="G113">
        <v>5</v>
      </c>
      <c r="H113">
        <v>291864.315</v>
      </c>
      <c r="I113">
        <v>428</v>
      </c>
    </row>
    <row r="114" spans="1:9" x14ac:dyDescent="0.35">
      <c r="A114">
        <v>3509908</v>
      </c>
      <c r="B114" t="s">
        <v>137</v>
      </c>
      <c r="C114">
        <v>16</v>
      </c>
      <c r="D114" t="s">
        <v>85</v>
      </c>
      <c r="E114">
        <v>1237.357</v>
      </c>
      <c r="F114">
        <v>74685.084000000003</v>
      </c>
      <c r="G114">
        <v>5</v>
      </c>
      <c r="H114">
        <v>207596.68100000001</v>
      </c>
      <c r="I114">
        <v>320</v>
      </c>
    </row>
    <row r="115" spans="1:9" x14ac:dyDescent="0.35">
      <c r="A115">
        <v>3509957</v>
      </c>
      <c r="B115" t="s">
        <v>138</v>
      </c>
      <c r="C115">
        <v>15</v>
      </c>
      <c r="D115" t="s">
        <v>48</v>
      </c>
      <c r="E115">
        <v>53.261000000000003</v>
      </c>
      <c r="F115">
        <v>8226.6880000000001</v>
      </c>
      <c r="G115">
        <v>4</v>
      </c>
      <c r="H115">
        <v>38765.194000000003</v>
      </c>
      <c r="I115">
        <v>68</v>
      </c>
    </row>
    <row r="116" spans="1:9" x14ac:dyDescent="0.35">
      <c r="A116">
        <v>3510005</v>
      </c>
      <c r="B116" t="s">
        <v>139</v>
      </c>
      <c r="C116">
        <v>8</v>
      </c>
      <c r="D116" t="s">
        <v>34</v>
      </c>
      <c r="E116">
        <v>595.81100000000004</v>
      </c>
      <c r="F116">
        <v>76718.463000000003</v>
      </c>
      <c r="G116">
        <v>19</v>
      </c>
      <c r="H116">
        <v>465354.33199999999</v>
      </c>
      <c r="I116">
        <v>982</v>
      </c>
    </row>
    <row r="117" spans="1:9" x14ac:dyDescent="0.35">
      <c r="A117">
        <v>3510104</v>
      </c>
      <c r="B117" t="s">
        <v>140</v>
      </c>
      <c r="C117">
        <v>5</v>
      </c>
      <c r="D117" t="s">
        <v>38</v>
      </c>
      <c r="E117">
        <v>70.891999999999996</v>
      </c>
      <c r="F117">
        <v>16148.228999999999</v>
      </c>
      <c r="G117">
        <v>5</v>
      </c>
      <c r="H117">
        <v>89577.695999999996</v>
      </c>
      <c r="I117">
        <v>206</v>
      </c>
    </row>
    <row r="118" spans="1:9" x14ac:dyDescent="0.35">
      <c r="A118">
        <v>3510153</v>
      </c>
      <c r="B118" t="s">
        <v>141</v>
      </c>
      <c r="C118">
        <v>8</v>
      </c>
      <c r="D118" t="s">
        <v>34</v>
      </c>
      <c r="E118">
        <v>57.459000000000003</v>
      </c>
      <c r="F118">
        <v>8130.0050000000001</v>
      </c>
      <c r="G118">
        <v>5</v>
      </c>
      <c r="H118">
        <v>32698.857</v>
      </c>
      <c r="I118">
        <v>109</v>
      </c>
    </row>
    <row r="119" spans="1:9" x14ac:dyDescent="0.35">
      <c r="A119">
        <v>3510203</v>
      </c>
      <c r="B119" t="s">
        <v>142</v>
      </c>
      <c r="C119">
        <v>7</v>
      </c>
      <c r="D119" t="s">
        <v>44</v>
      </c>
      <c r="E119">
        <v>1640.23</v>
      </c>
      <c r="F119">
        <v>133415.72700000001</v>
      </c>
      <c r="G119">
        <v>28</v>
      </c>
      <c r="H119">
        <v>1007869.774</v>
      </c>
      <c r="I119">
        <v>5516</v>
      </c>
    </row>
    <row r="120" spans="1:9" x14ac:dyDescent="0.35">
      <c r="A120">
        <v>3510302</v>
      </c>
      <c r="B120" t="s">
        <v>143</v>
      </c>
      <c r="C120">
        <v>13</v>
      </c>
      <c r="D120" t="s">
        <v>18</v>
      </c>
      <c r="E120">
        <v>169.89</v>
      </c>
      <c r="F120">
        <v>24584.411</v>
      </c>
      <c r="G120">
        <v>10</v>
      </c>
      <c r="H120">
        <v>156179.87599999999</v>
      </c>
      <c r="I120">
        <v>340</v>
      </c>
    </row>
    <row r="121" spans="1:9" x14ac:dyDescent="0.35">
      <c r="A121">
        <v>3510401</v>
      </c>
      <c r="B121" t="s">
        <v>144</v>
      </c>
      <c r="C121">
        <v>4</v>
      </c>
      <c r="D121" t="s">
        <v>14</v>
      </c>
      <c r="E121">
        <v>322.87799999999999</v>
      </c>
      <c r="F121">
        <v>22405.030999999999</v>
      </c>
      <c r="G121">
        <v>6</v>
      </c>
      <c r="H121">
        <v>163723.394</v>
      </c>
      <c r="I121">
        <v>450</v>
      </c>
    </row>
    <row r="122" spans="1:9" x14ac:dyDescent="0.35">
      <c r="A122">
        <v>3510500</v>
      </c>
      <c r="B122" t="s">
        <v>145</v>
      </c>
      <c r="C122">
        <v>15</v>
      </c>
      <c r="D122" t="s">
        <v>48</v>
      </c>
      <c r="E122">
        <v>484.947</v>
      </c>
      <c r="F122">
        <v>33232.313999999998</v>
      </c>
      <c r="G122">
        <v>19</v>
      </c>
      <c r="H122">
        <v>154929.57399999999</v>
      </c>
      <c r="I122">
        <v>433</v>
      </c>
    </row>
    <row r="123" spans="1:9" x14ac:dyDescent="0.35">
      <c r="A123">
        <v>3510609</v>
      </c>
      <c r="B123" t="s">
        <v>146</v>
      </c>
      <c r="C123">
        <v>10</v>
      </c>
      <c r="D123" t="s">
        <v>67</v>
      </c>
      <c r="E123">
        <v>34.545999999999999</v>
      </c>
      <c r="F123">
        <v>3696.7890000000002</v>
      </c>
      <c r="G123">
        <v>5</v>
      </c>
      <c r="H123">
        <v>3736.6089999999999</v>
      </c>
      <c r="I123">
        <v>51</v>
      </c>
    </row>
    <row r="124" spans="1:9" x14ac:dyDescent="0.35">
      <c r="A124">
        <v>3510708</v>
      </c>
      <c r="B124" t="s">
        <v>147</v>
      </c>
      <c r="C124">
        <v>14</v>
      </c>
      <c r="D124" t="s">
        <v>12</v>
      </c>
      <c r="E124">
        <v>639.24800000000005</v>
      </c>
      <c r="F124">
        <v>40842.737999999998</v>
      </c>
      <c r="G124">
        <v>15</v>
      </c>
      <c r="H124">
        <v>314527.12099999998</v>
      </c>
      <c r="I124">
        <v>551</v>
      </c>
    </row>
    <row r="125" spans="1:9" x14ac:dyDescent="0.35">
      <c r="A125">
        <v>3510807</v>
      </c>
      <c r="B125" t="s">
        <v>148</v>
      </c>
      <c r="C125">
        <v>4</v>
      </c>
      <c r="D125" t="s">
        <v>14</v>
      </c>
      <c r="E125">
        <v>864.22500000000002</v>
      </c>
      <c r="F125">
        <v>38061.599000000002</v>
      </c>
      <c r="G125">
        <v>8</v>
      </c>
      <c r="H125">
        <v>515518.46</v>
      </c>
      <c r="I125">
        <v>656</v>
      </c>
    </row>
    <row r="126" spans="1:9" x14ac:dyDescent="0.35">
      <c r="A126">
        <v>3510906</v>
      </c>
      <c r="B126" t="s">
        <v>149</v>
      </c>
      <c r="C126">
        <v>11</v>
      </c>
      <c r="D126" t="s">
        <v>27</v>
      </c>
      <c r="E126">
        <v>191.68299999999999</v>
      </c>
      <c r="F126">
        <v>69794.233999999997</v>
      </c>
      <c r="G126">
        <v>22</v>
      </c>
      <c r="H126">
        <v>169826.573</v>
      </c>
      <c r="I126">
        <v>196</v>
      </c>
    </row>
    <row r="127" spans="1:9" x14ac:dyDescent="0.35">
      <c r="A127">
        <v>3511003</v>
      </c>
      <c r="B127" t="s">
        <v>150</v>
      </c>
      <c r="C127">
        <v>1</v>
      </c>
      <c r="D127" t="s">
        <v>29</v>
      </c>
      <c r="E127">
        <v>1065.318</v>
      </c>
      <c r="F127">
        <v>114522.928</v>
      </c>
      <c r="G127">
        <v>26</v>
      </c>
      <c r="H127">
        <v>475272.924</v>
      </c>
      <c r="I127">
        <v>577</v>
      </c>
    </row>
    <row r="128" spans="1:9" x14ac:dyDescent="0.35">
      <c r="A128">
        <v>3511102</v>
      </c>
      <c r="B128" t="s">
        <v>151</v>
      </c>
      <c r="C128">
        <v>14</v>
      </c>
      <c r="D128" t="s">
        <v>12</v>
      </c>
      <c r="E128">
        <v>290.596</v>
      </c>
      <c r="F128">
        <v>40441.584999999999</v>
      </c>
      <c r="G128">
        <v>16</v>
      </c>
      <c r="H128">
        <v>270710.739</v>
      </c>
      <c r="I128">
        <v>1487</v>
      </c>
    </row>
    <row r="129" spans="1:9" x14ac:dyDescent="0.35">
      <c r="A129">
        <v>3511201</v>
      </c>
      <c r="B129" t="s">
        <v>152</v>
      </c>
      <c r="C129">
        <v>14</v>
      </c>
      <c r="D129" t="s">
        <v>12</v>
      </c>
      <c r="E129">
        <v>148.393</v>
      </c>
      <c r="F129">
        <v>14866.786</v>
      </c>
      <c r="G129">
        <v>3</v>
      </c>
      <c r="H129">
        <v>85413.042000000001</v>
      </c>
      <c r="I129">
        <v>197</v>
      </c>
    </row>
    <row r="130" spans="1:9" x14ac:dyDescent="0.35">
      <c r="A130">
        <v>3511300</v>
      </c>
      <c r="B130" t="s">
        <v>153</v>
      </c>
      <c r="C130">
        <v>14</v>
      </c>
      <c r="D130" t="s">
        <v>12</v>
      </c>
      <c r="E130">
        <v>197.83799999999999</v>
      </c>
      <c r="F130">
        <v>17072.002</v>
      </c>
      <c r="G130">
        <v>6</v>
      </c>
      <c r="H130">
        <v>164321.88399999999</v>
      </c>
      <c r="I130">
        <v>288</v>
      </c>
    </row>
    <row r="131" spans="1:9" x14ac:dyDescent="0.35">
      <c r="A131">
        <v>3511409</v>
      </c>
      <c r="B131" t="s">
        <v>154</v>
      </c>
      <c r="C131">
        <v>13</v>
      </c>
      <c r="D131" t="s">
        <v>18</v>
      </c>
      <c r="E131">
        <v>511.62099999999998</v>
      </c>
      <c r="F131">
        <v>66611.687999999995</v>
      </c>
      <c r="G131">
        <v>21</v>
      </c>
      <c r="H131">
        <v>349990.27500000002</v>
      </c>
      <c r="I131">
        <v>517</v>
      </c>
    </row>
    <row r="132" spans="1:9" x14ac:dyDescent="0.35">
      <c r="A132">
        <v>3511508</v>
      </c>
      <c r="B132" t="s">
        <v>155</v>
      </c>
      <c r="C132">
        <v>13</v>
      </c>
      <c r="D132" t="s">
        <v>18</v>
      </c>
      <c r="E132">
        <v>127.803</v>
      </c>
      <c r="F132">
        <v>34273.082000000002</v>
      </c>
      <c r="G132">
        <v>20</v>
      </c>
      <c r="H132">
        <v>155404.50899999999</v>
      </c>
      <c r="I132">
        <v>594</v>
      </c>
    </row>
    <row r="133" spans="1:9" x14ac:dyDescent="0.35">
      <c r="A133">
        <v>3511607</v>
      </c>
      <c r="B133" t="s">
        <v>156</v>
      </c>
      <c r="C133">
        <v>13</v>
      </c>
      <c r="D133" t="s">
        <v>18</v>
      </c>
      <c r="E133">
        <v>190.392</v>
      </c>
      <c r="F133">
        <v>32887.572</v>
      </c>
      <c r="G133">
        <v>7</v>
      </c>
      <c r="H133">
        <v>249381.89</v>
      </c>
      <c r="I133">
        <v>641</v>
      </c>
    </row>
    <row r="134" spans="1:9" x14ac:dyDescent="0.35">
      <c r="A134">
        <v>3511706</v>
      </c>
      <c r="B134" t="s">
        <v>157</v>
      </c>
      <c r="C134">
        <v>4</v>
      </c>
      <c r="D134" t="s">
        <v>14</v>
      </c>
      <c r="E134">
        <v>175.846</v>
      </c>
      <c r="F134">
        <v>18623.275000000001</v>
      </c>
      <c r="G134">
        <v>5</v>
      </c>
      <c r="H134">
        <v>136935.25200000001</v>
      </c>
      <c r="I134">
        <v>275</v>
      </c>
    </row>
    <row r="135" spans="1:9" x14ac:dyDescent="0.35">
      <c r="A135">
        <v>3511904</v>
      </c>
      <c r="B135" t="s">
        <v>158</v>
      </c>
      <c r="C135">
        <v>1</v>
      </c>
      <c r="D135" t="s">
        <v>29</v>
      </c>
      <c r="E135">
        <v>168.59</v>
      </c>
      <c r="F135">
        <v>47535.624000000003</v>
      </c>
      <c r="G135">
        <v>20</v>
      </c>
      <c r="H135">
        <v>103421.16899999999</v>
      </c>
      <c r="I135">
        <v>125</v>
      </c>
    </row>
    <row r="136" spans="1:9" x14ac:dyDescent="0.35">
      <c r="A136">
        <v>3512001</v>
      </c>
      <c r="B136" t="s">
        <v>159</v>
      </c>
      <c r="C136">
        <v>2</v>
      </c>
      <c r="D136" t="s">
        <v>25</v>
      </c>
      <c r="E136">
        <v>422.303</v>
      </c>
      <c r="F136">
        <v>44028.28</v>
      </c>
      <c r="G136">
        <v>12</v>
      </c>
      <c r="H136">
        <v>244503.66699999999</v>
      </c>
      <c r="I136">
        <v>404</v>
      </c>
    </row>
    <row r="137" spans="1:9" x14ac:dyDescent="0.35">
      <c r="A137">
        <v>3512100</v>
      </c>
      <c r="B137" t="s">
        <v>160</v>
      </c>
      <c r="C137">
        <v>2</v>
      </c>
      <c r="D137" t="s">
        <v>25</v>
      </c>
      <c r="E137">
        <v>728.64800000000002</v>
      </c>
      <c r="F137">
        <v>13226.778</v>
      </c>
      <c r="G137">
        <v>1</v>
      </c>
      <c r="H137">
        <v>241641.68799999999</v>
      </c>
      <c r="I137">
        <v>302</v>
      </c>
    </row>
    <row r="138" spans="1:9" x14ac:dyDescent="0.35">
      <c r="A138">
        <v>3512209</v>
      </c>
      <c r="B138" t="s">
        <v>161</v>
      </c>
      <c r="C138">
        <v>4</v>
      </c>
      <c r="D138" t="s">
        <v>14</v>
      </c>
      <c r="E138">
        <v>182.79300000000001</v>
      </c>
      <c r="F138">
        <v>20005.526999999998</v>
      </c>
      <c r="G138">
        <v>10</v>
      </c>
      <c r="H138">
        <v>210773.886</v>
      </c>
      <c r="I138">
        <v>344</v>
      </c>
    </row>
    <row r="139" spans="1:9" x14ac:dyDescent="0.35">
      <c r="A139">
        <v>3512308</v>
      </c>
      <c r="B139" t="s">
        <v>162</v>
      </c>
      <c r="C139">
        <v>13</v>
      </c>
      <c r="D139" t="s">
        <v>18</v>
      </c>
      <c r="E139">
        <v>466.12</v>
      </c>
      <c r="F139">
        <v>76722.608999999997</v>
      </c>
      <c r="G139">
        <v>20</v>
      </c>
      <c r="H139">
        <v>354665.52399999998</v>
      </c>
      <c r="I139">
        <v>543</v>
      </c>
    </row>
    <row r="140" spans="1:9" x14ac:dyDescent="0.35">
      <c r="A140">
        <v>3512407</v>
      </c>
      <c r="B140" t="s">
        <v>163</v>
      </c>
      <c r="C140">
        <v>4</v>
      </c>
      <c r="D140" t="s">
        <v>14</v>
      </c>
      <c r="E140">
        <v>137.57900000000001</v>
      </c>
      <c r="F140">
        <v>19295.810000000001</v>
      </c>
      <c r="G140">
        <v>7</v>
      </c>
      <c r="H140">
        <v>145763.024</v>
      </c>
      <c r="I140">
        <v>439</v>
      </c>
    </row>
    <row r="141" spans="1:9" x14ac:dyDescent="0.35">
      <c r="A141">
        <v>3512506</v>
      </c>
      <c r="B141" t="s">
        <v>164</v>
      </c>
      <c r="C141">
        <v>1</v>
      </c>
      <c r="D141" t="s">
        <v>29</v>
      </c>
      <c r="E141">
        <v>246.82499999999999</v>
      </c>
      <c r="F141">
        <v>38824.044000000002</v>
      </c>
      <c r="G141">
        <v>17</v>
      </c>
      <c r="H141">
        <v>183388.95199999999</v>
      </c>
      <c r="I141">
        <v>252</v>
      </c>
    </row>
    <row r="142" spans="1:9" x14ac:dyDescent="0.35">
      <c r="A142">
        <v>3512605</v>
      </c>
      <c r="B142" t="s">
        <v>165</v>
      </c>
      <c r="C142">
        <v>7</v>
      </c>
      <c r="D142" t="s">
        <v>44</v>
      </c>
      <c r="E142">
        <v>303.83</v>
      </c>
      <c r="F142">
        <v>3665.0520000000001</v>
      </c>
      <c r="G142">
        <v>4</v>
      </c>
      <c r="H142">
        <v>187494.63800000001</v>
      </c>
      <c r="I142">
        <v>180</v>
      </c>
    </row>
    <row r="143" spans="1:9" x14ac:dyDescent="0.35">
      <c r="A143">
        <v>3512704</v>
      </c>
      <c r="B143" t="s">
        <v>166</v>
      </c>
      <c r="C143">
        <v>4</v>
      </c>
      <c r="D143" t="s">
        <v>14</v>
      </c>
      <c r="E143">
        <v>278.62200000000001</v>
      </c>
      <c r="F143">
        <v>26179.455999999998</v>
      </c>
      <c r="G143">
        <v>5</v>
      </c>
      <c r="H143">
        <v>186808.73300000001</v>
      </c>
      <c r="I143">
        <v>191</v>
      </c>
    </row>
    <row r="144" spans="1:9" x14ac:dyDescent="0.35">
      <c r="A144">
        <v>3512803</v>
      </c>
      <c r="B144" t="s">
        <v>167</v>
      </c>
      <c r="C144">
        <v>4</v>
      </c>
      <c r="D144" t="s">
        <v>14</v>
      </c>
      <c r="E144">
        <v>154.66499999999999</v>
      </c>
      <c r="F144">
        <v>43796.311000000002</v>
      </c>
      <c r="G144">
        <v>15</v>
      </c>
      <c r="H144">
        <v>144912.239</v>
      </c>
      <c r="I144">
        <v>548</v>
      </c>
    </row>
    <row r="145" spans="1:9" x14ac:dyDescent="0.35">
      <c r="A145">
        <v>3512902</v>
      </c>
      <c r="B145" t="s">
        <v>168</v>
      </c>
      <c r="C145">
        <v>14</v>
      </c>
      <c r="D145" t="s">
        <v>12</v>
      </c>
      <c r="E145">
        <v>441.68</v>
      </c>
      <c r="F145">
        <v>44900.103000000003</v>
      </c>
      <c r="G145">
        <v>8</v>
      </c>
      <c r="H145">
        <v>439567.18699999998</v>
      </c>
      <c r="I145">
        <v>1765</v>
      </c>
    </row>
    <row r="146" spans="1:9" x14ac:dyDescent="0.35">
      <c r="A146">
        <v>3513009</v>
      </c>
      <c r="B146" t="s">
        <v>169</v>
      </c>
      <c r="C146">
        <v>10</v>
      </c>
      <c r="D146" t="s">
        <v>67</v>
      </c>
      <c r="E146">
        <v>323.99400000000003</v>
      </c>
      <c r="F146">
        <v>82515.913</v>
      </c>
      <c r="G146">
        <v>41</v>
      </c>
      <c r="H146">
        <v>454866.85700000002</v>
      </c>
      <c r="I146">
        <v>2318</v>
      </c>
    </row>
    <row r="147" spans="1:9" x14ac:dyDescent="0.35">
      <c r="A147">
        <v>3513108</v>
      </c>
      <c r="B147" t="s">
        <v>170</v>
      </c>
      <c r="C147">
        <v>11</v>
      </c>
      <c r="D147" t="s">
        <v>27</v>
      </c>
      <c r="E147">
        <v>311.423</v>
      </c>
      <c r="F147">
        <v>13328.619000000001</v>
      </c>
      <c r="G147">
        <v>6</v>
      </c>
      <c r="H147">
        <v>199671.83600000001</v>
      </c>
      <c r="I147">
        <v>478</v>
      </c>
    </row>
    <row r="148" spans="1:9" x14ac:dyDescent="0.35">
      <c r="A148">
        <v>3513207</v>
      </c>
      <c r="B148" t="s">
        <v>171</v>
      </c>
      <c r="C148">
        <v>6</v>
      </c>
      <c r="D148" t="s">
        <v>55</v>
      </c>
      <c r="E148">
        <v>385.23</v>
      </c>
      <c r="F148">
        <v>48792.07</v>
      </c>
      <c r="G148">
        <v>6</v>
      </c>
      <c r="H148">
        <v>289828.40100000001</v>
      </c>
      <c r="I148">
        <v>493</v>
      </c>
    </row>
    <row r="149" spans="1:9" x14ac:dyDescent="0.35">
      <c r="A149">
        <v>3513306</v>
      </c>
      <c r="B149" t="s">
        <v>172</v>
      </c>
      <c r="C149">
        <v>8</v>
      </c>
      <c r="D149" t="s">
        <v>34</v>
      </c>
      <c r="E149">
        <v>149.33000000000001</v>
      </c>
      <c r="F149">
        <v>22446.266</v>
      </c>
      <c r="G149">
        <v>4</v>
      </c>
      <c r="H149">
        <v>160984.58799999999</v>
      </c>
      <c r="I149">
        <v>262</v>
      </c>
    </row>
    <row r="150" spans="1:9" x14ac:dyDescent="0.35">
      <c r="A150">
        <v>3513405</v>
      </c>
      <c r="B150" t="s">
        <v>173</v>
      </c>
      <c r="C150">
        <v>15</v>
      </c>
      <c r="D150" t="s">
        <v>48</v>
      </c>
      <c r="E150">
        <v>305.69900000000001</v>
      </c>
      <c r="F150">
        <v>24060.866999999998</v>
      </c>
      <c r="G150">
        <v>8</v>
      </c>
      <c r="H150">
        <v>137214.736</v>
      </c>
      <c r="I150">
        <v>222</v>
      </c>
    </row>
    <row r="151" spans="1:9" x14ac:dyDescent="0.35">
      <c r="A151">
        <v>3513504</v>
      </c>
      <c r="B151" t="s">
        <v>174</v>
      </c>
      <c r="C151">
        <v>12</v>
      </c>
      <c r="D151" t="s">
        <v>96</v>
      </c>
      <c r="E151">
        <v>142.87899999999999</v>
      </c>
      <c r="H151">
        <v>36350.468999999997</v>
      </c>
      <c r="I151">
        <v>211</v>
      </c>
    </row>
    <row r="152" spans="1:9" x14ac:dyDescent="0.35">
      <c r="A152">
        <v>3513603</v>
      </c>
      <c r="B152" t="s">
        <v>175</v>
      </c>
      <c r="C152">
        <v>15</v>
      </c>
      <c r="D152" t="s">
        <v>48</v>
      </c>
      <c r="E152">
        <v>1407.25</v>
      </c>
      <c r="F152">
        <v>195023.80100000001</v>
      </c>
      <c r="G152">
        <v>39</v>
      </c>
      <c r="H152">
        <v>769417.21600000001</v>
      </c>
      <c r="I152">
        <v>866</v>
      </c>
    </row>
    <row r="153" spans="1:9" x14ac:dyDescent="0.35">
      <c r="A153">
        <v>3513702</v>
      </c>
      <c r="B153" t="s">
        <v>176</v>
      </c>
      <c r="C153">
        <v>5</v>
      </c>
      <c r="D153" t="s">
        <v>38</v>
      </c>
      <c r="E153">
        <v>753.70600000000002</v>
      </c>
      <c r="F153">
        <v>78850.046000000002</v>
      </c>
      <c r="G153">
        <v>13</v>
      </c>
      <c r="H153">
        <v>485808.99800000002</v>
      </c>
      <c r="I153">
        <v>804</v>
      </c>
    </row>
    <row r="154" spans="1:9" x14ac:dyDescent="0.35">
      <c r="A154">
        <v>3513801</v>
      </c>
      <c r="B154" t="s">
        <v>177</v>
      </c>
      <c r="C154">
        <v>10</v>
      </c>
      <c r="D154" t="s">
        <v>67</v>
      </c>
      <c r="E154">
        <v>30.731999999999999</v>
      </c>
      <c r="F154">
        <v>6858.8940000000002</v>
      </c>
      <c r="G154">
        <v>7</v>
      </c>
      <c r="H154">
        <v>5010.0190000000002</v>
      </c>
      <c r="I154">
        <v>33</v>
      </c>
    </row>
    <row r="155" spans="1:9" x14ac:dyDescent="0.35">
      <c r="A155">
        <v>3513850</v>
      </c>
      <c r="B155" t="s">
        <v>178</v>
      </c>
      <c r="C155">
        <v>14</v>
      </c>
      <c r="D155" t="s">
        <v>12</v>
      </c>
      <c r="E155">
        <v>88.132999999999996</v>
      </c>
      <c r="F155">
        <v>13961.916999999999</v>
      </c>
      <c r="G155">
        <v>3</v>
      </c>
      <c r="H155">
        <v>45195.42</v>
      </c>
      <c r="I155">
        <v>50</v>
      </c>
    </row>
    <row r="156" spans="1:9" x14ac:dyDescent="0.35">
      <c r="A156">
        <v>3513900</v>
      </c>
      <c r="B156" t="s">
        <v>179</v>
      </c>
      <c r="C156">
        <v>4</v>
      </c>
      <c r="D156" t="s">
        <v>14</v>
      </c>
      <c r="E156">
        <v>223.749</v>
      </c>
      <c r="F156">
        <v>19663.032999999999</v>
      </c>
      <c r="G156">
        <v>4</v>
      </c>
      <c r="H156">
        <v>328224.10399999999</v>
      </c>
      <c r="I156">
        <v>853</v>
      </c>
    </row>
    <row r="157" spans="1:9" x14ac:dyDescent="0.35">
      <c r="A157">
        <v>3514007</v>
      </c>
      <c r="B157" t="s">
        <v>180</v>
      </c>
      <c r="C157">
        <v>5</v>
      </c>
      <c r="D157" t="s">
        <v>38</v>
      </c>
      <c r="E157">
        <v>149.72900000000001</v>
      </c>
      <c r="F157">
        <v>8090.3049999999994</v>
      </c>
      <c r="G157">
        <v>5</v>
      </c>
      <c r="H157">
        <v>61908.377999999997</v>
      </c>
      <c r="I157">
        <v>220</v>
      </c>
    </row>
    <row r="158" spans="1:9" x14ac:dyDescent="0.35">
      <c r="A158">
        <v>3514106</v>
      </c>
      <c r="B158" t="s">
        <v>181</v>
      </c>
      <c r="C158">
        <v>3</v>
      </c>
      <c r="D158" t="s">
        <v>21</v>
      </c>
      <c r="E158">
        <v>632.97199999999998</v>
      </c>
      <c r="F158">
        <v>27185.587</v>
      </c>
      <c r="G158">
        <v>8</v>
      </c>
      <c r="H158">
        <v>330429.92099999997</v>
      </c>
      <c r="I158">
        <v>479</v>
      </c>
    </row>
    <row r="159" spans="1:9" x14ac:dyDescent="0.35">
      <c r="A159">
        <v>3514205</v>
      </c>
      <c r="B159" t="s">
        <v>182</v>
      </c>
      <c r="C159">
        <v>14</v>
      </c>
      <c r="D159" t="s">
        <v>12</v>
      </c>
      <c r="E159">
        <v>77.938999999999993</v>
      </c>
      <c r="F159">
        <v>4179.55</v>
      </c>
      <c r="G159">
        <v>1</v>
      </c>
      <c r="H159">
        <v>55169.21</v>
      </c>
      <c r="I159">
        <v>122</v>
      </c>
    </row>
    <row r="160" spans="1:9" x14ac:dyDescent="0.35">
      <c r="A160">
        <v>3514304</v>
      </c>
      <c r="B160" t="s">
        <v>183</v>
      </c>
      <c r="C160">
        <v>5</v>
      </c>
      <c r="D160" t="s">
        <v>38</v>
      </c>
      <c r="E160">
        <v>205.874</v>
      </c>
      <c r="F160">
        <v>18074.588</v>
      </c>
      <c r="G160">
        <v>5</v>
      </c>
      <c r="H160">
        <v>94340.691999999995</v>
      </c>
      <c r="I160">
        <v>170</v>
      </c>
    </row>
    <row r="161" spans="1:9" x14ac:dyDescent="0.35">
      <c r="A161">
        <v>3514403</v>
      </c>
      <c r="B161" t="s">
        <v>184</v>
      </c>
      <c r="C161">
        <v>9</v>
      </c>
      <c r="D161" t="s">
        <v>10</v>
      </c>
      <c r="E161">
        <v>487.68799999999999</v>
      </c>
      <c r="F161">
        <v>65258.754000000001</v>
      </c>
      <c r="G161">
        <v>16</v>
      </c>
      <c r="H161">
        <v>253078.853</v>
      </c>
      <c r="I161">
        <v>523</v>
      </c>
    </row>
    <row r="162" spans="1:9" x14ac:dyDescent="0.35">
      <c r="A162">
        <v>3514502</v>
      </c>
      <c r="B162" t="s">
        <v>185</v>
      </c>
      <c r="C162">
        <v>3</v>
      </c>
      <c r="D162" t="s">
        <v>21</v>
      </c>
      <c r="E162">
        <v>264.55700000000002</v>
      </c>
      <c r="F162">
        <v>11039.564</v>
      </c>
      <c r="G162">
        <v>5</v>
      </c>
      <c r="H162">
        <v>148026.60999999999</v>
      </c>
      <c r="I162">
        <v>286</v>
      </c>
    </row>
    <row r="163" spans="1:9" x14ac:dyDescent="0.35">
      <c r="A163">
        <v>3514601</v>
      </c>
      <c r="B163" t="s">
        <v>186</v>
      </c>
      <c r="C163">
        <v>11</v>
      </c>
      <c r="D163" t="s">
        <v>27</v>
      </c>
      <c r="E163">
        <v>111.376</v>
      </c>
      <c r="F163">
        <v>16649.614000000001</v>
      </c>
      <c r="G163">
        <v>5</v>
      </c>
      <c r="H163">
        <v>65010.311999999998</v>
      </c>
      <c r="I163">
        <v>128</v>
      </c>
    </row>
    <row r="164" spans="1:9" x14ac:dyDescent="0.35">
      <c r="A164">
        <v>3514700</v>
      </c>
      <c r="B164" t="s">
        <v>187</v>
      </c>
      <c r="C164">
        <v>8</v>
      </c>
      <c r="D164" t="s">
        <v>34</v>
      </c>
      <c r="E164">
        <v>515.25800000000004</v>
      </c>
      <c r="F164">
        <v>9946.0349999999999</v>
      </c>
      <c r="G164">
        <v>4</v>
      </c>
      <c r="H164">
        <v>160699.48699999999</v>
      </c>
      <c r="I164">
        <v>184</v>
      </c>
    </row>
    <row r="165" spans="1:9" x14ac:dyDescent="0.35">
      <c r="A165">
        <v>3514809</v>
      </c>
      <c r="B165" t="s">
        <v>188</v>
      </c>
      <c r="C165">
        <v>16</v>
      </c>
      <c r="D165" t="s">
        <v>85</v>
      </c>
      <c r="E165">
        <v>1654.2560000000001</v>
      </c>
      <c r="F165">
        <v>57095.517999999996</v>
      </c>
      <c r="G165">
        <v>9</v>
      </c>
      <c r="H165">
        <v>310606.5</v>
      </c>
      <c r="I165">
        <v>253</v>
      </c>
    </row>
    <row r="166" spans="1:9" x14ac:dyDescent="0.35">
      <c r="A166">
        <v>3514908</v>
      </c>
      <c r="B166" t="s">
        <v>189</v>
      </c>
      <c r="C166">
        <v>4</v>
      </c>
      <c r="D166" t="s">
        <v>14</v>
      </c>
      <c r="E166">
        <v>202.36</v>
      </c>
      <c r="F166">
        <v>47299.165999999997</v>
      </c>
      <c r="G166">
        <v>14</v>
      </c>
      <c r="H166">
        <v>194491.677</v>
      </c>
      <c r="I166">
        <v>510</v>
      </c>
    </row>
    <row r="167" spans="1:9" x14ac:dyDescent="0.35">
      <c r="A167">
        <v>3514924</v>
      </c>
      <c r="B167" t="s">
        <v>190</v>
      </c>
      <c r="C167">
        <v>14</v>
      </c>
      <c r="D167" t="s">
        <v>12</v>
      </c>
      <c r="E167">
        <v>93.98</v>
      </c>
      <c r="F167">
        <v>14312.55</v>
      </c>
      <c r="G167">
        <v>7</v>
      </c>
      <c r="H167">
        <v>67804.205000000002</v>
      </c>
      <c r="I167">
        <v>219</v>
      </c>
    </row>
    <row r="168" spans="1:9" x14ac:dyDescent="0.35">
      <c r="A168">
        <v>3514957</v>
      </c>
      <c r="B168" t="s">
        <v>191</v>
      </c>
      <c r="C168">
        <v>2</v>
      </c>
      <c r="D168" t="s">
        <v>25</v>
      </c>
      <c r="E168">
        <v>83.129000000000005</v>
      </c>
      <c r="F168">
        <v>15106.888000000001</v>
      </c>
      <c r="G168">
        <v>4</v>
      </c>
      <c r="H168">
        <v>86472.316999999995</v>
      </c>
      <c r="I168">
        <v>147</v>
      </c>
    </row>
    <row r="169" spans="1:9" x14ac:dyDescent="0.35">
      <c r="A169">
        <v>3515004</v>
      </c>
      <c r="B169" t="s">
        <v>192</v>
      </c>
      <c r="C169">
        <v>10</v>
      </c>
      <c r="D169" t="s">
        <v>67</v>
      </c>
      <c r="E169">
        <v>70.397999999999996</v>
      </c>
      <c r="F169">
        <v>36540.622000000003</v>
      </c>
      <c r="G169">
        <v>24</v>
      </c>
      <c r="H169">
        <v>117112.47199999999</v>
      </c>
      <c r="I169">
        <v>702</v>
      </c>
    </row>
    <row r="170" spans="1:9" x14ac:dyDescent="0.35">
      <c r="A170">
        <v>3515103</v>
      </c>
      <c r="B170" t="s">
        <v>193</v>
      </c>
      <c r="C170">
        <v>10</v>
      </c>
      <c r="D170" t="s">
        <v>67</v>
      </c>
      <c r="E170">
        <v>155.64099999999999</v>
      </c>
      <c r="F170">
        <v>37599.811000000002</v>
      </c>
      <c r="G170">
        <v>16</v>
      </c>
      <c r="H170">
        <v>218662.53599999999</v>
      </c>
      <c r="I170">
        <v>822</v>
      </c>
    </row>
    <row r="171" spans="1:9" x14ac:dyDescent="0.35">
      <c r="A171">
        <v>3515129</v>
      </c>
      <c r="B171" t="s">
        <v>194</v>
      </c>
      <c r="C171">
        <v>9</v>
      </c>
      <c r="D171" t="s">
        <v>10</v>
      </c>
      <c r="E171">
        <v>225.167</v>
      </c>
      <c r="F171">
        <v>19063.468000000001</v>
      </c>
      <c r="G171">
        <v>5</v>
      </c>
      <c r="H171">
        <v>87607.085000000006</v>
      </c>
      <c r="I171">
        <v>88</v>
      </c>
    </row>
    <row r="172" spans="1:9" x14ac:dyDescent="0.35">
      <c r="A172">
        <v>3515152</v>
      </c>
      <c r="B172" t="s">
        <v>195</v>
      </c>
      <c r="C172">
        <v>4</v>
      </c>
      <c r="D172" t="s">
        <v>14</v>
      </c>
      <c r="E172">
        <v>109.941</v>
      </c>
      <c r="F172">
        <v>13802.22</v>
      </c>
      <c r="G172">
        <v>6</v>
      </c>
      <c r="H172">
        <v>133727.15299999999</v>
      </c>
      <c r="I172">
        <v>343</v>
      </c>
    </row>
    <row r="173" spans="1:9" x14ac:dyDescent="0.35">
      <c r="A173">
        <v>3515186</v>
      </c>
      <c r="B173" t="s">
        <v>196</v>
      </c>
      <c r="C173">
        <v>4</v>
      </c>
      <c r="D173" t="s">
        <v>14</v>
      </c>
      <c r="E173">
        <v>389.23500000000001</v>
      </c>
      <c r="F173">
        <v>34495.065000000002</v>
      </c>
      <c r="G173">
        <v>11</v>
      </c>
      <c r="H173">
        <v>217368.43900000001</v>
      </c>
      <c r="I173">
        <v>533</v>
      </c>
    </row>
    <row r="174" spans="1:9" x14ac:dyDescent="0.35">
      <c r="A174">
        <v>3515194</v>
      </c>
      <c r="B174" t="s">
        <v>197</v>
      </c>
      <c r="C174">
        <v>8</v>
      </c>
      <c r="D174" t="s">
        <v>34</v>
      </c>
      <c r="E174">
        <v>193.666</v>
      </c>
      <c r="F174">
        <v>13985.375</v>
      </c>
      <c r="G174">
        <v>5</v>
      </c>
      <c r="H174">
        <v>112766.88099999999</v>
      </c>
      <c r="I174">
        <v>159</v>
      </c>
    </row>
    <row r="175" spans="1:9" x14ac:dyDescent="0.35">
      <c r="A175">
        <v>3515202</v>
      </c>
      <c r="B175" t="s">
        <v>198</v>
      </c>
      <c r="C175">
        <v>14</v>
      </c>
      <c r="D175" t="s">
        <v>12</v>
      </c>
      <c r="E175">
        <v>296.28100000000001</v>
      </c>
      <c r="F175">
        <v>30556.09</v>
      </c>
      <c r="G175">
        <v>6</v>
      </c>
      <c r="H175">
        <v>186306.057</v>
      </c>
      <c r="I175">
        <v>241</v>
      </c>
    </row>
    <row r="176" spans="1:9" x14ac:dyDescent="0.35">
      <c r="A176">
        <v>3515301</v>
      </c>
      <c r="B176" t="s">
        <v>199</v>
      </c>
      <c r="C176">
        <v>9</v>
      </c>
      <c r="D176" t="s">
        <v>10</v>
      </c>
      <c r="E176">
        <v>264.98700000000002</v>
      </c>
      <c r="F176">
        <v>14248.236999999999</v>
      </c>
      <c r="G176">
        <v>3</v>
      </c>
      <c r="H176">
        <v>88634.15</v>
      </c>
      <c r="I176">
        <v>100</v>
      </c>
    </row>
    <row r="177" spans="1:9" x14ac:dyDescent="0.35">
      <c r="A177">
        <v>3515350</v>
      </c>
      <c r="B177" t="s">
        <v>200</v>
      </c>
      <c r="C177">
        <v>9</v>
      </c>
      <c r="D177" t="s">
        <v>10</v>
      </c>
      <c r="E177">
        <v>573.89400000000001</v>
      </c>
      <c r="F177">
        <v>26830.203000000001</v>
      </c>
      <c r="G177">
        <v>5</v>
      </c>
      <c r="H177">
        <v>282651.47399999999</v>
      </c>
      <c r="I177">
        <v>209</v>
      </c>
    </row>
    <row r="178" spans="1:9" x14ac:dyDescent="0.35">
      <c r="A178">
        <v>3515400</v>
      </c>
      <c r="B178" t="s">
        <v>201</v>
      </c>
      <c r="C178">
        <v>7</v>
      </c>
      <c r="D178" t="s">
        <v>44</v>
      </c>
      <c r="E178">
        <v>429.17099999999999</v>
      </c>
      <c r="F178">
        <v>57335.425999999999</v>
      </c>
      <c r="G178">
        <v>16</v>
      </c>
      <c r="H178">
        <v>285156.96799999999</v>
      </c>
      <c r="I178">
        <v>506</v>
      </c>
    </row>
    <row r="179" spans="1:9" x14ac:dyDescent="0.35">
      <c r="A179">
        <v>3515509</v>
      </c>
      <c r="B179" t="s">
        <v>202</v>
      </c>
      <c r="C179">
        <v>14</v>
      </c>
      <c r="D179" t="s">
        <v>12</v>
      </c>
      <c r="E179">
        <v>549.79700000000003</v>
      </c>
      <c r="F179">
        <v>25863.544999999998</v>
      </c>
      <c r="G179">
        <v>7</v>
      </c>
      <c r="H179">
        <v>377257.99300000002</v>
      </c>
      <c r="I179">
        <v>876</v>
      </c>
    </row>
    <row r="180" spans="1:9" x14ac:dyDescent="0.35">
      <c r="A180">
        <v>3515608</v>
      </c>
      <c r="B180" t="s">
        <v>203</v>
      </c>
      <c r="C180">
        <v>5</v>
      </c>
      <c r="D180" t="s">
        <v>38</v>
      </c>
      <c r="E180">
        <v>169.99</v>
      </c>
      <c r="F180">
        <v>19004.231</v>
      </c>
      <c r="G180">
        <v>8</v>
      </c>
      <c r="H180">
        <v>155008.20699999999</v>
      </c>
      <c r="I180">
        <v>212</v>
      </c>
    </row>
    <row r="181" spans="1:9" x14ac:dyDescent="0.35">
      <c r="A181">
        <v>3515657</v>
      </c>
      <c r="B181" t="s">
        <v>204</v>
      </c>
      <c r="C181">
        <v>8</v>
      </c>
      <c r="D181" t="s">
        <v>34</v>
      </c>
      <c r="E181">
        <v>100.504</v>
      </c>
      <c r="F181">
        <v>23177.39</v>
      </c>
      <c r="G181">
        <v>9</v>
      </c>
      <c r="H181">
        <v>94844.092999999993</v>
      </c>
      <c r="I181">
        <v>177</v>
      </c>
    </row>
    <row r="182" spans="1:9" x14ac:dyDescent="0.35">
      <c r="A182">
        <v>3515707</v>
      </c>
      <c r="B182" t="s">
        <v>205</v>
      </c>
      <c r="C182">
        <v>10</v>
      </c>
      <c r="D182" t="s">
        <v>67</v>
      </c>
      <c r="E182">
        <v>29.564</v>
      </c>
      <c r="F182">
        <v>13478.066999999999</v>
      </c>
      <c r="G182">
        <v>9</v>
      </c>
      <c r="H182">
        <v>33776.567999999999</v>
      </c>
      <c r="I182">
        <v>195</v>
      </c>
    </row>
    <row r="183" spans="1:9" x14ac:dyDescent="0.35">
      <c r="A183">
        <v>3515806</v>
      </c>
      <c r="B183" t="s">
        <v>206</v>
      </c>
      <c r="C183">
        <v>9</v>
      </c>
      <c r="D183" t="s">
        <v>10</v>
      </c>
      <c r="E183">
        <v>224.71100000000001</v>
      </c>
      <c r="F183">
        <v>9825.4320000000007</v>
      </c>
      <c r="G183">
        <v>2</v>
      </c>
      <c r="H183">
        <v>83153.292000000001</v>
      </c>
      <c r="I183">
        <v>67</v>
      </c>
    </row>
    <row r="184" spans="1:9" x14ac:dyDescent="0.35">
      <c r="A184">
        <v>3515905</v>
      </c>
      <c r="B184" t="s">
        <v>207</v>
      </c>
      <c r="C184">
        <v>14</v>
      </c>
      <c r="D184" t="s">
        <v>12</v>
      </c>
      <c r="E184">
        <v>204.23599999999999</v>
      </c>
      <c r="F184">
        <v>21514.615000000002</v>
      </c>
      <c r="G184">
        <v>8</v>
      </c>
      <c r="H184">
        <v>116916.482</v>
      </c>
      <c r="I184">
        <v>105</v>
      </c>
    </row>
    <row r="185" spans="1:9" x14ac:dyDescent="0.35">
      <c r="A185">
        <v>3516002</v>
      </c>
      <c r="B185" t="s">
        <v>208</v>
      </c>
      <c r="C185">
        <v>9</v>
      </c>
      <c r="D185" t="s">
        <v>10</v>
      </c>
      <c r="E185">
        <v>524.13800000000003</v>
      </c>
      <c r="F185">
        <v>109204.899</v>
      </c>
      <c r="G185">
        <v>18</v>
      </c>
      <c r="H185">
        <v>256509.71799999999</v>
      </c>
      <c r="I185">
        <v>257</v>
      </c>
    </row>
    <row r="186" spans="1:9" x14ac:dyDescent="0.35">
      <c r="A186">
        <v>3516101</v>
      </c>
      <c r="B186" t="s">
        <v>209</v>
      </c>
      <c r="C186">
        <v>8</v>
      </c>
      <c r="D186" t="s">
        <v>34</v>
      </c>
      <c r="E186">
        <v>225.886</v>
      </c>
      <c r="F186">
        <v>19305.237000000001</v>
      </c>
      <c r="G186">
        <v>6</v>
      </c>
      <c r="H186">
        <v>119539.868</v>
      </c>
      <c r="I186">
        <v>215</v>
      </c>
    </row>
    <row r="187" spans="1:9" x14ac:dyDescent="0.35">
      <c r="A187">
        <v>3516200</v>
      </c>
      <c r="B187" t="s">
        <v>210</v>
      </c>
      <c r="C187">
        <v>6</v>
      </c>
      <c r="D187" t="s">
        <v>55</v>
      </c>
      <c r="E187">
        <v>605.67899999999997</v>
      </c>
      <c r="F187">
        <v>77796.562000000005</v>
      </c>
      <c r="G187">
        <v>16</v>
      </c>
      <c r="H187">
        <v>430216.02600000001</v>
      </c>
      <c r="I187">
        <v>1756</v>
      </c>
    </row>
    <row r="188" spans="1:9" x14ac:dyDescent="0.35">
      <c r="A188">
        <v>3516309</v>
      </c>
      <c r="B188" t="s">
        <v>211</v>
      </c>
      <c r="C188">
        <v>10</v>
      </c>
      <c r="D188" t="s">
        <v>67</v>
      </c>
      <c r="E188">
        <v>49.000999999999998</v>
      </c>
      <c r="F188">
        <v>14756.652</v>
      </c>
      <c r="G188">
        <v>7</v>
      </c>
      <c r="H188">
        <v>72338.687000000005</v>
      </c>
      <c r="I188">
        <v>352</v>
      </c>
    </row>
    <row r="189" spans="1:9" x14ac:dyDescent="0.35">
      <c r="A189">
        <v>3516408</v>
      </c>
      <c r="B189" t="s">
        <v>212</v>
      </c>
      <c r="C189">
        <v>10</v>
      </c>
      <c r="D189" t="s">
        <v>67</v>
      </c>
      <c r="E189">
        <v>132.77500000000001</v>
      </c>
      <c r="F189">
        <v>37524.014999999999</v>
      </c>
      <c r="G189">
        <v>18</v>
      </c>
      <c r="H189">
        <v>172827.21900000001</v>
      </c>
      <c r="I189">
        <v>763</v>
      </c>
    </row>
    <row r="190" spans="1:9" x14ac:dyDescent="0.35">
      <c r="A190">
        <v>3516507</v>
      </c>
      <c r="B190" t="s">
        <v>213</v>
      </c>
      <c r="C190">
        <v>1</v>
      </c>
      <c r="D190" t="s">
        <v>29</v>
      </c>
      <c r="E190">
        <v>138.68100000000001</v>
      </c>
      <c r="F190">
        <v>37208.337</v>
      </c>
      <c r="G190">
        <v>6</v>
      </c>
      <c r="H190">
        <v>97001.907000000007</v>
      </c>
      <c r="I190">
        <v>87</v>
      </c>
    </row>
    <row r="191" spans="1:9" x14ac:dyDescent="0.35">
      <c r="A191">
        <v>3516606</v>
      </c>
      <c r="B191" t="s">
        <v>214</v>
      </c>
      <c r="C191">
        <v>8</v>
      </c>
      <c r="D191" t="s">
        <v>34</v>
      </c>
      <c r="E191">
        <v>355.91399999999999</v>
      </c>
      <c r="F191">
        <v>14054.236000000001</v>
      </c>
      <c r="G191">
        <v>11</v>
      </c>
      <c r="H191">
        <v>188906.12700000001</v>
      </c>
      <c r="I191">
        <v>296</v>
      </c>
    </row>
    <row r="192" spans="1:9" x14ac:dyDescent="0.35">
      <c r="A192">
        <v>3516705</v>
      </c>
      <c r="B192" t="s">
        <v>215</v>
      </c>
      <c r="C192">
        <v>8</v>
      </c>
      <c r="D192" t="s">
        <v>34</v>
      </c>
      <c r="E192">
        <v>555.80700000000002</v>
      </c>
      <c r="F192">
        <v>24717.811000000002</v>
      </c>
      <c r="G192">
        <v>4</v>
      </c>
      <c r="H192">
        <v>380838.88299999997</v>
      </c>
      <c r="I192">
        <v>780</v>
      </c>
    </row>
    <row r="193" spans="1:9" x14ac:dyDescent="0.35">
      <c r="A193">
        <v>3516804</v>
      </c>
      <c r="B193" t="s">
        <v>216</v>
      </c>
      <c r="C193">
        <v>1</v>
      </c>
      <c r="D193" t="s">
        <v>29</v>
      </c>
      <c r="E193">
        <v>180.56899999999999</v>
      </c>
      <c r="F193">
        <v>14525.275</v>
      </c>
      <c r="G193">
        <v>5</v>
      </c>
      <c r="H193">
        <v>129955.107</v>
      </c>
      <c r="I193">
        <v>138</v>
      </c>
    </row>
    <row r="194" spans="1:9" x14ac:dyDescent="0.35">
      <c r="A194">
        <v>3516853</v>
      </c>
      <c r="B194" t="s">
        <v>217</v>
      </c>
      <c r="C194">
        <v>5</v>
      </c>
      <c r="D194" t="s">
        <v>38</v>
      </c>
      <c r="E194">
        <v>243.76599999999999</v>
      </c>
      <c r="F194">
        <v>66055.88</v>
      </c>
      <c r="G194">
        <v>15</v>
      </c>
      <c r="H194">
        <v>125980.72900000001</v>
      </c>
      <c r="I194">
        <v>299</v>
      </c>
    </row>
    <row r="195" spans="1:9" x14ac:dyDescent="0.35">
      <c r="A195">
        <v>3516903</v>
      </c>
      <c r="B195" t="s">
        <v>218</v>
      </c>
      <c r="C195">
        <v>1</v>
      </c>
      <c r="D195" t="s">
        <v>29</v>
      </c>
      <c r="E195">
        <v>494.37599999999998</v>
      </c>
      <c r="F195">
        <v>45201.976999999999</v>
      </c>
      <c r="G195">
        <v>11</v>
      </c>
      <c r="H195">
        <v>218404.05</v>
      </c>
      <c r="I195">
        <v>294</v>
      </c>
    </row>
    <row r="196" spans="1:9" x14ac:dyDescent="0.35">
      <c r="A196">
        <v>3517000</v>
      </c>
      <c r="B196" t="s">
        <v>219</v>
      </c>
      <c r="C196">
        <v>3</v>
      </c>
      <c r="D196" t="s">
        <v>21</v>
      </c>
      <c r="E196">
        <v>676.755</v>
      </c>
      <c r="F196">
        <v>61402.46</v>
      </c>
      <c r="G196">
        <v>11</v>
      </c>
      <c r="H196">
        <v>277112.21799999999</v>
      </c>
      <c r="I196">
        <v>287</v>
      </c>
    </row>
    <row r="197" spans="1:9" x14ac:dyDescent="0.35">
      <c r="A197">
        <v>3517109</v>
      </c>
      <c r="B197" t="s">
        <v>220</v>
      </c>
      <c r="C197">
        <v>1</v>
      </c>
      <c r="D197" t="s">
        <v>29</v>
      </c>
      <c r="E197">
        <v>272.8</v>
      </c>
      <c r="F197">
        <v>39068.559999999998</v>
      </c>
      <c r="G197">
        <v>6</v>
      </c>
      <c r="H197">
        <v>179954.56299999999</v>
      </c>
      <c r="I197">
        <v>269</v>
      </c>
    </row>
    <row r="198" spans="1:9" x14ac:dyDescent="0.35">
      <c r="A198">
        <v>3517208</v>
      </c>
      <c r="B198" t="s">
        <v>221</v>
      </c>
      <c r="C198">
        <v>3</v>
      </c>
      <c r="D198" t="s">
        <v>21</v>
      </c>
      <c r="E198">
        <v>277.154</v>
      </c>
      <c r="F198">
        <v>35083.023999999998</v>
      </c>
      <c r="G198">
        <v>11</v>
      </c>
      <c r="H198">
        <v>120722.841</v>
      </c>
      <c r="I198">
        <v>213</v>
      </c>
    </row>
    <row r="199" spans="1:9" x14ac:dyDescent="0.35">
      <c r="A199">
        <v>3517307</v>
      </c>
      <c r="B199" t="s">
        <v>222</v>
      </c>
      <c r="C199">
        <v>3</v>
      </c>
      <c r="D199" t="s">
        <v>21</v>
      </c>
      <c r="E199">
        <v>217.81100000000001</v>
      </c>
      <c r="F199">
        <v>26929.437000000002</v>
      </c>
      <c r="G199">
        <v>4</v>
      </c>
      <c r="H199">
        <v>115330.192</v>
      </c>
      <c r="I199">
        <v>182</v>
      </c>
    </row>
    <row r="200" spans="1:9" x14ac:dyDescent="0.35">
      <c r="A200">
        <v>3517406</v>
      </c>
      <c r="B200" t="s">
        <v>223</v>
      </c>
      <c r="C200">
        <v>2</v>
      </c>
      <c r="D200" t="s">
        <v>25</v>
      </c>
      <c r="E200">
        <v>1258.4649999999999</v>
      </c>
      <c r="F200">
        <v>60235.519999999997</v>
      </c>
      <c r="G200">
        <v>18</v>
      </c>
      <c r="H200">
        <v>690445.9</v>
      </c>
      <c r="I200">
        <v>1049</v>
      </c>
    </row>
    <row r="201" spans="1:9" x14ac:dyDescent="0.35">
      <c r="A201">
        <v>3517505</v>
      </c>
      <c r="B201" t="s">
        <v>224</v>
      </c>
      <c r="C201">
        <v>14</v>
      </c>
      <c r="D201" t="s">
        <v>12</v>
      </c>
      <c r="E201">
        <v>325.12599999999998</v>
      </c>
      <c r="F201">
        <v>32794.650999999998</v>
      </c>
      <c r="G201">
        <v>12</v>
      </c>
      <c r="H201">
        <v>289774.50099999999</v>
      </c>
      <c r="I201">
        <v>570</v>
      </c>
    </row>
    <row r="202" spans="1:9" x14ac:dyDescent="0.35">
      <c r="A202">
        <v>3517604</v>
      </c>
      <c r="B202" t="s">
        <v>225</v>
      </c>
      <c r="C202">
        <v>7</v>
      </c>
      <c r="D202" t="s">
        <v>44</v>
      </c>
      <c r="E202">
        <v>408.29199999999997</v>
      </c>
      <c r="F202">
        <v>36253.625</v>
      </c>
      <c r="G202">
        <v>7</v>
      </c>
      <c r="H202">
        <v>511154.95400000003</v>
      </c>
      <c r="I202">
        <v>2031</v>
      </c>
    </row>
    <row r="203" spans="1:9" x14ac:dyDescent="0.35">
      <c r="A203">
        <v>3517703</v>
      </c>
      <c r="B203" t="s">
        <v>226</v>
      </c>
      <c r="C203">
        <v>6</v>
      </c>
      <c r="D203" t="s">
        <v>55</v>
      </c>
      <c r="E203">
        <v>362.18299999999999</v>
      </c>
      <c r="F203">
        <v>40321.292000000001</v>
      </c>
      <c r="G203">
        <v>15</v>
      </c>
      <c r="H203">
        <v>229767.83</v>
      </c>
      <c r="I203">
        <v>602</v>
      </c>
    </row>
    <row r="204" spans="1:9" x14ac:dyDescent="0.35">
      <c r="A204">
        <v>3517802</v>
      </c>
      <c r="B204" t="s">
        <v>227</v>
      </c>
      <c r="C204">
        <v>1</v>
      </c>
      <c r="D204" t="s">
        <v>29</v>
      </c>
      <c r="E204">
        <v>569.197</v>
      </c>
      <c r="F204">
        <v>71010.231</v>
      </c>
      <c r="G204">
        <v>17</v>
      </c>
      <c r="H204">
        <v>247481.66200000001</v>
      </c>
      <c r="I204">
        <v>203</v>
      </c>
    </row>
    <row r="205" spans="1:9" x14ac:dyDescent="0.35">
      <c r="A205">
        <v>3517901</v>
      </c>
      <c r="B205" t="s">
        <v>228</v>
      </c>
      <c r="C205">
        <v>2</v>
      </c>
      <c r="D205" t="s">
        <v>25</v>
      </c>
      <c r="E205">
        <v>641.50099999999998</v>
      </c>
      <c r="F205">
        <v>38704.106</v>
      </c>
      <c r="G205">
        <v>10</v>
      </c>
      <c r="H205">
        <v>258406.21599999999</v>
      </c>
      <c r="I205">
        <v>410</v>
      </c>
    </row>
    <row r="206" spans="1:9" x14ac:dyDescent="0.35">
      <c r="A206">
        <v>3518008</v>
      </c>
      <c r="B206" t="s">
        <v>229</v>
      </c>
      <c r="C206">
        <v>14</v>
      </c>
      <c r="D206" t="s">
        <v>12</v>
      </c>
      <c r="E206">
        <v>85.7</v>
      </c>
      <c r="F206">
        <v>968.39700000000005</v>
      </c>
      <c r="G206">
        <v>1</v>
      </c>
      <c r="H206">
        <v>50157.646999999997</v>
      </c>
      <c r="I206">
        <v>78</v>
      </c>
    </row>
    <row r="207" spans="1:9" x14ac:dyDescent="0.35">
      <c r="A207">
        <v>3518107</v>
      </c>
      <c r="B207" t="s">
        <v>230</v>
      </c>
      <c r="C207">
        <v>3</v>
      </c>
      <c r="D207" t="s">
        <v>21</v>
      </c>
      <c r="E207">
        <v>461.74599999999998</v>
      </c>
      <c r="F207">
        <v>6292.7079999999996</v>
      </c>
      <c r="G207">
        <v>4</v>
      </c>
      <c r="H207">
        <v>193716.24799999999</v>
      </c>
      <c r="I207">
        <v>372</v>
      </c>
    </row>
    <row r="208" spans="1:9" x14ac:dyDescent="0.35">
      <c r="A208">
        <v>3518206</v>
      </c>
      <c r="B208" t="s">
        <v>231</v>
      </c>
      <c r="C208">
        <v>1</v>
      </c>
      <c r="D208" t="s">
        <v>29</v>
      </c>
      <c r="E208">
        <v>955.63699999999994</v>
      </c>
      <c r="F208">
        <v>108544.571</v>
      </c>
      <c r="G208">
        <v>26</v>
      </c>
      <c r="H208">
        <v>470179.97700000001</v>
      </c>
      <c r="I208">
        <v>695</v>
      </c>
    </row>
    <row r="209" spans="1:9" x14ac:dyDescent="0.35">
      <c r="A209">
        <v>3518305</v>
      </c>
      <c r="B209" t="s">
        <v>232</v>
      </c>
      <c r="C209">
        <v>10</v>
      </c>
      <c r="D209" t="s">
        <v>67</v>
      </c>
      <c r="E209">
        <v>270.81599999999997</v>
      </c>
      <c r="F209">
        <v>44207.089</v>
      </c>
      <c r="G209">
        <v>20</v>
      </c>
      <c r="H209">
        <v>391543.08799999999</v>
      </c>
      <c r="I209">
        <v>1034</v>
      </c>
    </row>
    <row r="210" spans="1:9" x14ac:dyDescent="0.35">
      <c r="A210">
        <v>3518404</v>
      </c>
      <c r="B210" t="s">
        <v>233</v>
      </c>
      <c r="C210">
        <v>15</v>
      </c>
      <c r="D210" t="s">
        <v>48</v>
      </c>
      <c r="E210">
        <v>752.63599999999997</v>
      </c>
      <c r="F210">
        <v>71378.293999999994</v>
      </c>
      <c r="G210">
        <v>21</v>
      </c>
      <c r="H210">
        <v>481211.98800000001</v>
      </c>
      <c r="I210">
        <v>1126</v>
      </c>
    </row>
    <row r="211" spans="1:9" x14ac:dyDescent="0.35">
      <c r="A211">
        <v>3518503</v>
      </c>
      <c r="B211" t="s">
        <v>234</v>
      </c>
      <c r="C211">
        <v>13</v>
      </c>
      <c r="D211" t="s">
        <v>18</v>
      </c>
      <c r="E211">
        <v>567.88400000000001</v>
      </c>
      <c r="F211">
        <v>78162.513000000006</v>
      </c>
      <c r="G211">
        <v>17</v>
      </c>
      <c r="H211">
        <v>287425.37300000002</v>
      </c>
      <c r="I211">
        <v>375</v>
      </c>
    </row>
    <row r="212" spans="1:9" x14ac:dyDescent="0.35">
      <c r="A212">
        <v>3518602</v>
      </c>
      <c r="B212" t="s">
        <v>235</v>
      </c>
      <c r="C212">
        <v>11</v>
      </c>
      <c r="D212" t="s">
        <v>27</v>
      </c>
      <c r="E212">
        <v>270.28899999999999</v>
      </c>
      <c r="F212">
        <v>30104.863000000001</v>
      </c>
      <c r="G212">
        <v>10</v>
      </c>
      <c r="H212">
        <v>192357.54699999999</v>
      </c>
      <c r="I212">
        <v>454</v>
      </c>
    </row>
    <row r="213" spans="1:9" x14ac:dyDescent="0.35">
      <c r="A213">
        <v>3518701</v>
      </c>
      <c r="B213" t="s">
        <v>236</v>
      </c>
      <c r="C213">
        <v>12</v>
      </c>
      <c r="D213" t="s">
        <v>96</v>
      </c>
      <c r="E213">
        <v>144.79400000000001</v>
      </c>
      <c r="F213">
        <v>14800.018</v>
      </c>
      <c r="G213">
        <v>2</v>
      </c>
      <c r="H213">
        <v>92140.99</v>
      </c>
      <c r="I213">
        <v>648</v>
      </c>
    </row>
    <row r="214" spans="1:9" x14ac:dyDescent="0.35">
      <c r="A214">
        <v>3518800</v>
      </c>
      <c r="B214" t="s">
        <v>237</v>
      </c>
      <c r="C214">
        <v>10</v>
      </c>
      <c r="D214" t="s">
        <v>67</v>
      </c>
      <c r="E214">
        <v>318.67500000000001</v>
      </c>
      <c r="F214">
        <v>25355.922999999999</v>
      </c>
      <c r="G214">
        <v>11</v>
      </c>
      <c r="H214">
        <v>248078.81</v>
      </c>
      <c r="I214">
        <v>1004</v>
      </c>
    </row>
    <row r="215" spans="1:9" x14ac:dyDescent="0.35">
      <c r="A215">
        <v>3518859</v>
      </c>
      <c r="B215" t="s">
        <v>238</v>
      </c>
      <c r="C215">
        <v>11</v>
      </c>
      <c r="D215" t="s">
        <v>27</v>
      </c>
      <c r="E215">
        <v>413.56700000000001</v>
      </c>
      <c r="F215">
        <v>55289.252</v>
      </c>
      <c r="G215">
        <v>11</v>
      </c>
      <c r="H215">
        <v>195806.10399999999</v>
      </c>
      <c r="I215">
        <v>344</v>
      </c>
    </row>
    <row r="216" spans="1:9" x14ac:dyDescent="0.35">
      <c r="A216">
        <v>3518909</v>
      </c>
      <c r="B216" t="s">
        <v>239</v>
      </c>
      <c r="C216">
        <v>1</v>
      </c>
      <c r="D216" t="s">
        <v>29</v>
      </c>
      <c r="E216">
        <v>252.477</v>
      </c>
      <c r="F216">
        <v>17216.419000000002</v>
      </c>
      <c r="G216">
        <v>7</v>
      </c>
      <c r="H216">
        <v>132388.19500000001</v>
      </c>
      <c r="I216">
        <v>127</v>
      </c>
    </row>
    <row r="217" spans="1:9" x14ac:dyDescent="0.35">
      <c r="A217">
        <v>3519006</v>
      </c>
      <c r="B217" t="s">
        <v>240</v>
      </c>
      <c r="C217">
        <v>8</v>
      </c>
      <c r="D217" t="s">
        <v>34</v>
      </c>
      <c r="E217">
        <v>364.25200000000001</v>
      </c>
      <c r="F217">
        <v>55518.074000000001</v>
      </c>
      <c r="G217">
        <v>10</v>
      </c>
      <c r="H217">
        <v>256234.016</v>
      </c>
      <c r="I217">
        <v>481</v>
      </c>
    </row>
    <row r="218" spans="1:9" x14ac:dyDescent="0.35">
      <c r="A218">
        <v>3519055</v>
      </c>
      <c r="B218" t="s">
        <v>241</v>
      </c>
      <c r="C218">
        <v>4</v>
      </c>
      <c r="D218" t="s">
        <v>14</v>
      </c>
      <c r="E218">
        <v>65.576999999999998</v>
      </c>
      <c r="F218">
        <v>35773.599999999999</v>
      </c>
      <c r="G218">
        <v>12</v>
      </c>
      <c r="H218">
        <v>101614.67200000001</v>
      </c>
      <c r="I218">
        <v>423</v>
      </c>
    </row>
    <row r="219" spans="1:9" x14ac:dyDescent="0.35">
      <c r="A219">
        <v>3519071</v>
      </c>
      <c r="B219" t="s">
        <v>242</v>
      </c>
      <c r="C219">
        <v>4</v>
      </c>
      <c r="D219" t="s">
        <v>14</v>
      </c>
      <c r="E219">
        <v>62.415999999999997</v>
      </c>
      <c r="F219">
        <v>19048.186000000002</v>
      </c>
      <c r="G219">
        <v>13</v>
      </c>
      <c r="H219">
        <v>70850.842999999993</v>
      </c>
      <c r="I219">
        <v>710</v>
      </c>
    </row>
    <row r="220" spans="1:9" x14ac:dyDescent="0.35">
      <c r="A220">
        <v>3519105</v>
      </c>
      <c r="B220" t="s">
        <v>243</v>
      </c>
      <c r="C220">
        <v>3</v>
      </c>
      <c r="D220" t="s">
        <v>21</v>
      </c>
      <c r="E220">
        <v>547.39300000000003</v>
      </c>
      <c r="F220">
        <v>38963.557000000001</v>
      </c>
      <c r="G220">
        <v>6</v>
      </c>
      <c r="H220">
        <v>254084.29500000001</v>
      </c>
      <c r="I220">
        <v>388</v>
      </c>
    </row>
    <row r="221" spans="1:9" x14ac:dyDescent="0.35">
      <c r="A221">
        <v>3519204</v>
      </c>
      <c r="B221" t="s">
        <v>244</v>
      </c>
      <c r="C221">
        <v>8</v>
      </c>
      <c r="D221" t="s">
        <v>34</v>
      </c>
      <c r="E221">
        <v>321.94799999999998</v>
      </c>
      <c r="F221">
        <v>63796.906000000003</v>
      </c>
      <c r="G221">
        <v>15</v>
      </c>
      <c r="H221">
        <v>214870.989</v>
      </c>
      <c r="I221">
        <v>235</v>
      </c>
    </row>
    <row r="222" spans="1:9" x14ac:dyDescent="0.35">
      <c r="A222">
        <v>3519253</v>
      </c>
      <c r="B222" t="s">
        <v>245</v>
      </c>
      <c r="C222">
        <v>13</v>
      </c>
      <c r="D222" t="s">
        <v>18</v>
      </c>
      <c r="E222">
        <v>401.38099999999997</v>
      </c>
      <c r="F222">
        <v>24873.437999999998</v>
      </c>
      <c r="G222">
        <v>5</v>
      </c>
      <c r="H222">
        <v>201088.674</v>
      </c>
      <c r="I222">
        <v>231</v>
      </c>
    </row>
    <row r="223" spans="1:9" x14ac:dyDescent="0.35">
      <c r="A223">
        <v>3519303</v>
      </c>
      <c r="B223" t="s">
        <v>246</v>
      </c>
      <c r="C223">
        <v>5</v>
      </c>
      <c r="D223" t="s">
        <v>38</v>
      </c>
      <c r="E223">
        <v>290.97800000000001</v>
      </c>
      <c r="F223">
        <v>45106.735000000001</v>
      </c>
      <c r="G223">
        <v>6</v>
      </c>
      <c r="H223">
        <v>147622.11900000001</v>
      </c>
      <c r="I223">
        <v>441</v>
      </c>
    </row>
    <row r="224" spans="1:9" x14ac:dyDescent="0.35">
      <c r="A224">
        <v>3519402</v>
      </c>
      <c r="B224" t="s">
        <v>247</v>
      </c>
      <c r="C224">
        <v>14</v>
      </c>
      <c r="D224" t="s">
        <v>12</v>
      </c>
      <c r="E224">
        <v>271.91199999999998</v>
      </c>
      <c r="F224">
        <v>23289.330999999998</v>
      </c>
      <c r="G224">
        <v>12</v>
      </c>
      <c r="H224">
        <v>173571.20600000001</v>
      </c>
      <c r="I224">
        <v>285</v>
      </c>
    </row>
    <row r="225" spans="1:9" x14ac:dyDescent="0.35">
      <c r="A225">
        <v>3519501</v>
      </c>
      <c r="B225" t="s">
        <v>248</v>
      </c>
      <c r="C225">
        <v>8</v>
      </c>
      <c r="D225" t="s">
        <v>34</v>
      </c>
      <c r="E225">
        <v>228.23</v>
      </c>
      <c r="F225">
        <v>31416.348000000002</v>
      </c>
      <c r="G225">
        <v>11</v>
      </c>
      <c r="H225">
        <v>162065.39199999999</v>
      </c>
      <c r="I225">
        <v>250</v>
      </c>
    </row>
    <row r="226" spans="1:9" x14ac:dyDescent="0.35">
      <c r="A226">
        <v>3519600</v>
      </c>
      <c r="B226" t="s">
        <v>249</v>
      </c>
      <c r="C226">
        <v>5</v>
      </c>
      <c r="D226" t="s">
        <v>38</v>
      </c>
      <c r="E226">
        <v>689.39099999999996</v>
      </c>
      <c r="F226">
        <v>24009.65</v>
      </c>
      <c r="G226">
        <v>10</v>
      </c>
      <c r="H226">
        <v>516944.97</v>
      </c>
      <c r="I226">
        <v>1519</v>
      </c>
    </row>
    <row r="227" spans="1:9" x14ac:dyDescent="0.35">
      <c r="A227">
        <v>3519709</v>
      </c>
      <c r="B227" t="s">
        <v>250</v>
      </c>
      <c r="C227">
        <v>13</v>
      </c>
      <c r="D227" t="s">
        <v>18</v>
      </c>
      <c r="E227">
        <v>1058.0820000000001</v>
      </c>
      <c r="F227">
        <v>132483.12100000001</v>
      </c>
      <c r="G227">
        <v>28</v>
      </c>
      <c r="H227">
        <v>1410377.486</v>
      </c>
      <c r="I227">
        <v>3298</v>
      </c>
    </row>
    <row r="228" spans="1:9" x14ac:dyDescent="0.35">
      <c r="A228">
        <v>3519808</v>
      </c>
      <c r="B228" t="s">
        <v>251</v>
      </c>
      <c r="C228">
        <v>14</v>
      </c>
      <c r="D228" t="s">
        <v>12</v>
      </c>
      <c r="E228">
        <v>362.35500000000002</v>
      </c>
      <c r="F228">
        <v>6471.2719999999999</v>
      </c>
      <c r="G228">
        <v>5</v>
      </c>
      <c r="H228">
        <v>93460.654999999999</v>
      </c>
      <c r="I228">
        <v>226</v>
      </c>
    </row>
    <row r="229" spans="1:9" x14ac:dyDescent="0.35">
      <c r="A229">
        <v>3519907</v>
      </c>
      <c r="B229" t="s">
        <v>252</v>
      </c>
      <c r="C229">
        <v>9</v>
      </c>
      <c r="D229" t="s">
        <v>10</v>
      </c>
      <c r="E229">
        <v>594.97400000000005</v>
      </c>
      <c r="F229">
        <v>4131.2070000000003</v>
      </c>
      <c r="G229">
        <v>1</v>
      </c>
      <c r="H229">
        <v>207155.652</v>
      </c>
      <c r="I229">
        <v>233</v>
      </c>
    </row>
    <row r="230" spans="1:9" x14ac:dyDescent="0.35">
      <c r="A230">
        <v>3520004</v>
      </c>
      <c r="B230" t="s">
        <v>253</v>
      </c>
      <c r="C230">
        <v>3</v>
      </c>
      <c r="D230" t="s">
        <v>21</v>
      </c>
      <c r="E230">
        <v>97.747</v>
      </c>
      <c r="F230">
        <v>24878.951000000001</v>
      </c>
      <c r="G230">
        <v>10</v>
      </c>
      <c r="H230">
        <v>68598.180999999997</v>
      </c>
      <c r="I230">
        <v>174</v>
      </c>
    </row>
    <row r="231" spans="1:9" x14ac:dyDescent="0.35">
      <c r="A231">
        <v>3520103</v>
      </c>
      <c r="B231" t="s">
        <v>254</v>
      </c>
      <c r="C231">
        <v>6</v>
      </c>
      <c r="D231" t="s">
        <v>55</v>
      </c>
      <c r="E231">
        <v>468.24599999999998</v>
      </c>
      <c r="F231">
        <v>69610.944000000003</v>
      </c>
      <c r="G231">
        <v>15</v>
      </c>
      <c r="H231">
        <v>245711.465</v>
      </c>
      <c r="I231">
        <v>419</v>
      </c>
    </row>
    <row r="232" spans="1:9" x14ac:dyDescent="0.35">
      <c r="A232">
        <v>3520202</v>
      </c>
      <c r="B232" t="s">
        <v>255</v>
      </c>
      <c r="C232">
        <v>15</v>
      </c>
      <c r="D232" t="s">
        <v>48</v>
      </c>
      <c r="E232">
        <v>292.95299999999997</v>
      </c>
      <c r="F232">
        <v>24859.743999999999</v>
      </c>
      <c r="G232">
        <v>5</v>
      </c>
      <c r="H232">
        <v>301401.82299999997</v>
      </c>
      <c r="I232">
        <v>516</v>
      </c>
    </row>
    <row r="233" spans="1:9" x14ac:dyDescent="0.35">
      <c r="A233">
        <v>3520301</v>
      </c>
      <c r="B233" t="s">
        <v>256</v>
      </c>
      <c r="C233">
        <v>16</v>
      </c>
      <c r="D233" t="s">
        <v>85</v>
      </c>
      <c r="E233">
        <v>1978.7950000000001</v>
      </c>
      <c r="F233">
        <v>134540.73000000001</v>
      </c>
      <c r="G233">
        <v>21</v>
      </c>
      <c r="H233">
        <v>474905.29100000003</v>
      </c>
      <c r="I233">
        <v>641</v>
      </c>
    </row>
    <row r="234" spans="1:9" x14ac:dyDescent="0.35">
      <c r="A234">
        <v>3520400</v>
      </c>
      <c r="B234" t="s">
        <v>257</v>
      </c>
      <c r="C234">
        <v>15</v>
      </c>
      <c r="D234" t="s">
        <v>48</v>
      </c>
      <c r="E234">
        <v>346.38900000000001</v>
      </c>
      <c r="F234">
        <v>7998.58</v>
      </c>
      <c r="G234">
        <v>2</v>
      </c>
      <c r="H234">
        <v>37046.125</v>
      </c>
      <c r="I234">
        <v>129</v>
      </c>
    </row>
    <row r="235" spans="1:9" x14ac:dyDescent="0.35">
      <c r="A235">
        <v>3520426</v>
      </c>
      <c r="B235" t="s">
        <v>258</v>
      </c>
      <c r="C235">
        <v>16</v>
      </c>
      <c r="D235" t="s">
        <v>85</v>
      </c>
      <c r="E235">
        <v>196.56700000000001</v>
      </c>
      <c r="F235">
        <v>21571.078000000001</v>
      </c>
      <c r="G235">
        <v>5</v>
      </c>
      <c r="H235">
        <v>315405.82500000001</v>
      </c>
      <c r="I235">
        <v>778</v>
      </c>
    </row>
    <row r="236" spans="1:9" x14ac:dyDescent="0.35">
      <c r="A236">
        <v>3520442</v>
      </c>
      <c r="B236" t="s">
        <v>259</v>
      </c>
      <c r="C236">
        <v>1</v>
      </c>
      <c r="D236" t="s">
        <v>29</v>
      </c>
      <c r="E236">
        <v>652.64099999999996</v>
      </c>
      <c r="F236">
        <v>31562.746999999999</v>
      </c>
      <c r="G236">
        <v>18</v>
      </c>
      <c r="H236">
        <v>221486.06200000001</v>
      </c>
      <c r="I236">
        <v>510</v>
      </c>
    </row>
    <row r="237" spans="1:9" x14ac:dyDescent="0.35">
      <c r="A237">
        <v>3520509</v>
      </c>
      <c r="B237" t="s">
        <v>260</v>
      </c>
      <c r="C237">
        <v>4</v>
      </c>
      <c r="D237" t="s">
        <v>14</v>
      </c>
      <c r="E237">
        <v>311.54500000000002</v>
      </c>
      <c r="F237">
        <v>52205.623</v>
      </c>
      <c r="G237">
        <v>20</v>
      </c>
      <c r="H237">
        <v>329140.99400000001</v>
      </c>
      <c r="I237">
        <v>1448</v>
      </c>
    </row>
    <row r="238" spans="1:9" x14ac:dyDescent="0.35">
      <c r="A238">
        <v>3520608</v>
      </c>
      <c r="B238" t="s">
        <v>261</v>
      </c>
      <c r="C238">
        <v>9</v>
      </c>
      <c r="D238" t="s">
        <v>10</v>
      </c>
      <c r="E238">
        <v>129.36699999999999</v>
      </c>
      <c r="F238">
        <v>16575.050999999999</v>
      </c>
      <c r="G238">
        <v>7</v>
      </c>
      <c r="H238">
        <v>99304.894</v>
      </c>
      <c r="I238">
        <v>180</v>
      </c>
    </row>
    <row r="239" spans="1:9" x14ac:dyDescent="0.35">
      <c r="A239">
        <v>3520707</v>
      </c>
      <c r="B239" t="s">
        <v>262</v>
      </c>
      <c r="C239">
        <v>14</v>
      </c>
      <c r="D239" t="s">
        <v>12</v>
      </c>
      <c r="E239">
        <v>279.60599999999999</v>
      </c>
      <c r="F239">
        <v>37336.635000000002</v>
      </c>
      <c r="G239">
        <v>7</v>
      </c>
      <c r="H239">
        <v>215476.03099999999</v>
      </c>
      <c r="I239">
        <v>407</v>
      </c>
    </row>
    <row r="240" spans="1:9" x14ac:dyDescent="0.35">
      <c r="A240">
        <v>3520806</v>
      </c>
      <c r="B240" t="s">
        <v>263</v>
      </c>
      <c r="C240">
        <v>9</v>
      </c>
      <c r="D240" t="s">
        <v>10</v>
      </c>
      <c r="E240">
        <v>87.119</v>
      </c>
      <c r="F240">
        <v>18986.845000000001</v>
      </c>
      <c r="G240">
        <v>4</v>
      </c>
      <c r="H240">
        <v>48814.481</v>
      </c>
      <c r="I240">
        <v>58</v>
      </c>
    </row>
    <row r="241" spans="1:9" x14ac:dyDescent="0.35">
      <c r="A241">
        <v>3520905</v>
      </c>
      <c r="B241" t="s">
        <v>264</v>
      </c>
      <c r="C241">
        <v>8</v>
      </c>
      <c r="D241" t="s">
        <v>34</v>
      </c>
      <c r="E241">
        <v>209.554</v>
      </c>
      <c r="F241">
        <v>20897.024000000001</v>
      </c>
      <c r="G241">
        <v>5</v>
      </c>
      <c r="H241">
        <v>66619.138999999996</v>
      </c>
      <c r="I241">
        <v>206</v>
      </c>
    </row>
    <row r="242" spans="1:9" x14ac:dyDescent="0.35">
      <c r="A242">
        <v>3521002</v>
      </c>
      <c r="B242" t="s">
        <v>265</v>
      </c>
      <c r="C242">
        <v>13</v>
      </c>
      <c r="D242" t="s">
        <v>18</v>
      </c>
      <c r="E242">
        <v>170.28899999999999</v>
      </c>
      <c r="F242">
        <v>40868.305999999997</v>
      </c>
      <c r="G242">
        <v>12</v>
      </c>
      <c r="H242">
        <v>187892.82500000001</v>
      </c>
      <c r="I242">
        <v>585</v>
      </c>
    </row>
    <row r="243" spans="1:9" x14ac:dyDescent="0.35">
      <c r="A243">
        <v>3521101</v>
      </c>
      <c r="B243" t="s">
        <v>266</v>
      </c>
      <c r="C243">
        <v>4</v>
      </c>
      <c r="D243" t="s">
        <v>14</v>
      </c>
      <c r="E243">
        <v>190.01</v>
      </c>
      <c r="F243">
        <v>22393.876</v>
      </c>
      <c r="G243">
        <v>11</v>
      </c>
      <c r="H243">
        <v>133519.09299999999</v>
      </c>
      <c r="I243">
        <v>183</v>
      </c>
    </row>
    <row r="244" spans="1:9" x14ac:dyDescent="0.35">
      <c r="A244">
        <v>3521150</v>
      </c>
      <c r="B244" t="s">
        <v>267</v>
      </c>
      <c r="C244">
        <v>14</v>
      </c>
      <c r="D244" t="s">
        <v>12</v>
      </c>
      <c r="E244">
        <v>136.02799999999999</v>
      </c>
      <c r="F244">
        <v>6246.7489999999998</v>
      </c>
      <c r="G244">
        <v>4</v>
      </c>
      <c r="H244">
        <v>104618.417</v>
      </c>
      <c r="I244">
        <v>248</v>
      </c>
    </row>
    <row r="245" spans="1:9" x14ac:dyDescent="0.35">
      <c r="A245">
        <v>3521200</v>
      </c>
      <c r="B245" t="s">
        <v>268</v>
      </c>
      <c r="C245">
        <v>7</v>
      </c>
      <c r="D245" t="s">
        <v>44</v>
      </c>
      <c r="E245">
        <v>1152.059</v>
      </c>
      <c r="F245">
        <v>67620.959999999992</v>
      </c>
      <c r="G245">
        <v>7</v>
      </c>
      <c r="H245">
        <v>116429.576</v>
      </c>
      <c r="I245">
        <v>173</v>
      </c>
    </row>
    <row r="246" spans="1:9" x14ac:dyDescent="0.35">
      <c r="A246">
        <v>3521309</v>
      </c>
      <c r="B246" t="s">
        <v>269</v>
      </c>
      <c r="C246">
        <v>6</v>
      </c>
      <c r="D246" t="s">
        <v>55</v>
      </c>
      <c r="E246">
        <v>466.46100000000001</v>
      </c>
      <c r="F246">
        <v>37832.366000000002</v>
      </c>
      <c r="G246">
        <v>7</v>
      </c>
      <c r="H246">
        <v>286483.01799999998</v>
      </c>
      <c r="I246">
        <v>1262</v>
      </c>
    </row>
    <row r="247" spans="1:9" x14ac:dyDescent="0.35">
      <c r="A247">
        <v>3521408</v>
      </c>
      <c r="B247" t="s">
        <v>270</v>
      </c>
      <c r="C247">
        <v>4</v>
      </c>
      <c r="D247" t="s">
        <v>14</v>
      </c>
      <c r="E247">
        <v>115.11799999999999</v>
      </c>
      <c r="F247">
        <v>18298.751</v>
      </c>
      <c r="G247">
        <v>9</v>
      </c>
      <c r="H247">
        <v>80562.89</v>
      </c>
      <c r="I247">
        <v>170</v>
      </c>
    </row>
    <row r="248" spans="1:9" x14ac:dyDescent="0.35">
      <c r="A248">
        <v>3521507</v>
      </c>
      <c r="B248" t="s">
        <v>271</v>
      </c>
      <c r="C248">
        <v>14</v>
      </c>
      <c r="D248" t="s">
        <v>12</v>
      </c>
      <c r="E248">
        <v>257.61200000000002</v>
      </c>
      <c r="F248">
        <v>17606.133999999998</v>
      </c>
      <c r="G248">
        <v>7</v>
      </c>
      <c r="H248">
        <v>170336.802</v>
      </c>
      <c r="I248">
        <v>183</v>
      </c>
    </row>
    <row r="249" spans="1:9" x14ac:dyDescent="0.35">
      <c r="A249">
        <v>3521606</v>
      </c>
      <c r="B249" t="s">
        <v>272</v>
      </c>
      <c r="C249">
        <v>9</v>
      </c>
      <c r="D249" t="s">
        <v>10</v>
      </c>
      <c r="E249">
        <v>214.46100000000001</v>
      </c>
      <c r="F249">
        <v>40649.093000000001</v>
      </c>
      <c r="G249">
        <v>14</v>
      </c>
      <c r="H249">
        <v>118409.853</v>
      </c>
      <c r="I249">
        <v>140</v>
      </c>
    </row>
    <row r="250" spans="1:9" x14ac:dyDescent="0.35">
      <c r="A250">
        <v>3521705</v>
      </c>
      <c r="B250" t="s">
        <v>273</v>
      </c>
      <c r="C250">
        <v>7</v>
      </c>
      <c r="D250" t="s">
        <v>44</v>
      </c>
      <c r="E250">
        <v>1100.248</v>
      </c>
      <c r="F250">
        <v>34117.422000000013</v>
      </c>
      <c r="G250">
        <v>7</v>
      </c>
      <c r="H250">
        <v>649978.06099999999</v>
      </c>
      <c r="I250">
        <v>636</v>
      </c>
    </row>
    <row r="251" spans="1:9" x14ac:dyDescent="0.35">
      <c r="A251">
        <v>3521804</v>
      </c>
      <c r="B251" t="s">
        <v>274</v>
      </c>
      <c r="C251">
        <v>7</v>
      </c>
      <c r="D251" t="s">
        <v>44</v>
      </c>
      <c r="E251">
        <v>1092.884</v>
      </c>
      <c r="F251">
        <v>98078.88</v>
      </c>
      <c r="G251">
        <v>9</v>
      </c>
      <c r="H251">
        <v>713570.826</v>
      </c>
      <c r="I251">
        <v>1318</v>
      </c>
    </row>
    <row r="252" spans="1:9" x14ac:dyDescent="0.35">
      <c r="A252">
        <v>3521903</v>
      </c>
      <c r="B252" t="s">
        <v>275</v>
      </c>
      <c r="C252">
        <v>14</v>
      </c>
      <c r="D252" t="s">
        <v>12</v>
      </c>
      <c r="E252">
        <v>502.06599999999997</v>
      </c>
      <c r="F252">
        <v>52824.421000000002</v>
      </c>
      <c r="G252">
        <v>13</v>
      </c>
      <c r="H252">
        <v>394609.61900000001</v>
      </c>
      <c r="I252">
        <v>831</v>
      </c>
    </row>
    <row r="253" spans="1:9" x14ac:dyDescent="0.35">
      <c r="A253">
        <v>3522000</v>
      </c>
      <c r="B253" t="s">
        <v>276</v>
      </c>
      <c r="C253">
        <v>3</v>
      </c>
      <c r="D253" t="s">
        <v>21</v>
      </c>
      <c r="E253">
        <v>230.35499999999999</v>
      </c>
      <c r="F253">
        <v>10746.558999999999</v>
      </c>
      <c r="G253">
        <v>2</v>
      </c>
      <c r="H253">
        <v>157420.67499999999</v>
      </c>
      <c r="I253">
        <v>391</v>
      </c>
    </row>
    <row r="254" spans="1:9" x14ac:dyDescent="0.35">
      <c r="A254">
        <v>3522109</v>
      </c>
      <c r="B254" t="s">
        <v>277</v>
      </c>
      <c r="C254">
        <v>12</v>
      </c>
      <c r="D254" t="s">
        <v>96</v>
      </c>
      <c r="E254">
        <v>601.71100000000001</v>
      </c>
      <c r="F254">
        <v>33777.834000000003</v>
      </c>
      <c r="G254">
        <v>7</v>
      </c>
      <c r="H254">
        <v>435451.75400000002</v>
      </c>
      <c r="I254">
        <v>1370</v>
      </c>
    </row>
    <row r="255" spans="1:9" x14ac:dyDescent="0.35">
      <c r="A255">
        <v>3522158</v>
      </c>
      <c r="B255" t="s">
        <v>278</v>
      </c>
      <c r="C255">
        <v>7</v>
      </c>
      <c r="D255" t="s">
        <v>44</v>
      </c>
      <c r="E255">
        <v>183.01499999999999</v>
      </c>
      <c r="F255">
        <v>35391.635000000002</v>
      </c>
      <c r="G255">
        <v>9</v>
      </c>
      <c r="H255">
        <v>84314.561000000002</v>
      </c>
      <c r="I255">
        <v>91</v>
      </c>
    </row>
    <row r="256" spans="1:9" x14ac:dyDescent="0.35">
      <c r="A256">
        <v>3522208</v>
      </c>
      <c r="B256" t="s">
        <v>279</v>
      </c>
      <c r="C256">
        <v>10</v>
      </c>
      <c r="D256" t="s">
        <v>67</v>
      </c>
      <c r="E256">
        <v>150.74199999999999</v>
      </c>
      <c r="F256">
        <v>34401.040999999997</v>
      </c>
      <c r="G256">
        <v>12</v>
      </c>
      <c r="H256">
        <v>235915.128</v>
      </c>
      <c r="I256">
        <v>1045</v>
      </c>
    </row>
    <row r="257" spans="1:9" x14ac:dyDescent="0.35">
      <c r="A257">
        <v>3522307</v>
      </c>
      <c r="B257" t="s">
        <v>280</v>
      </c>
      <c r="C257">
        <v>13</v>
      </c>
      <c r="D257" t="s">
        <v>18</v>
      </c>
      <c r="E257">
        <v>1789.35</v>
      </c>
      <c r="F257">
        <v>159114.10999999999</v>
      </c>
      <c r="G257">
        <v>40</v>
      </c>
      <c r="H257">
        <v>1153961.48</v>
      </c>
      <c r="I257">
        <v>2016</v>
      </c>
    </row>
    <row r="258" spans="1:9" x14ac:dyDescent="0.35">
      <c r="A258">
        <v>3522406</v>
      </c>
      <c r="B258" t="s">
        <v>281</v>
      </c>
      <c r="C258">
        <v>7</v>
      </c>
      <c r="D258" t="s">
        <v>44</v>
      </c>
      <c r="E258">
        <v>1826.258</v>
      </c>
      <c r="F258">
        <v>153318.606</v>
      </c>
      <c r="G258">
        <v>24</v>
      </c>
      <c r="H258">
        <v>976952.35100000002</v>
      </c>
      <c r="I258">
        <v>1563</v>
      </c>
    </row>
    <row r="259" spans="1:9" x14ac:dyDescent="0.35">
      <c r="A259">
        <v>3522505</v>
      </c>
      <c r="B259" t="s">
        <v>282</v>
      </c>
      <c r="C259">
        <v>10</v>
      </c>
      <c r="D259" t="s">
        <v>67</v>
      </c>
      <c r="E259">
        <v>82.658000000000001</v>
      </c>
      <c r="F259">
        <v>32020.66</v>
      </c>
      <c r="G259">
        <v>17</v>
      </c>
      <c r="H259">
        <v>124253.08100000001</v>
      </c>
      <c r="I259">
        <v>628</v>
      </c>
    </row>
    <row r="260" spans="1:9" x14ac:dyDescent="0.35">
      <c r="A260">
        <v>3522604</v>
      </c>
      <c r="B260" t="s">
        <v>283</v>
      </c>
      <c r="C260">
        <v>4</v>
      </c>
      <c r="D260" t="s">
        <v>14</v>
      </c>
      <c r="E260">
        <v>518.41600000000005</v>
      </c>
      <c r="F260">
        <v>74371.756999999998</v>
      </c>
      <c r="G260">
        <v>45</v>
      </c>
      <c r="H260">
        <v>429258.45600000001</v>
      </c>
      <c r="I260">
        <v>905</v>
      </c>
    </row>
    <row r="261" spans="1:9" x14ac:dyDescent="0.35">
      <c r="A261">
        <v>3522653</v>
      </c>
      <c r="B261" t="s">
        <v>284</v>
      </c>
      <c r="C261">
        <v>7</v>
      </c>
      <c r="D261" t="s">
        <v>44</v>
      </c>
      <c r="E261">
        <v>406.47800000000001</v>
      </c>
      <c r="F261">
        <v>36278.858999999997</v>
      </c>
      <c r="G261">
        <v>6</v>
      </c>
      <c r="H261">
        <v>160821.88800000001</v>
      </c>
      <c r="I261">
        <v>103</v>
      </c>
    </row>
    <row r="262" spans="1:9" x14ac:dyDescent="0.35">
      <c r="A262">
        <v>3522703</v>
      </c>
      <c r="B262" t="s">
        <v>285</v>
      </c>
      <c r="C262">
        <v>5</v>
      </c>
      <c r="D262" t="s">
        <v>38</v>
      </c>
      <c r="E262">
        <v>996.74699999999996</v>
      </c>
      <c r="F262">
        <v>181862.39600000001</v>
      </c>
      <c r="G262">
        <v>45</v>
      </c>
      <c r="H262">
        <v>923866.81</v>
      </c>
      <c r="I262">
        <v>1736</v>
      </c>
    </row>
    <row r="263" spans="1:9" x14ac:dyDescent="0.35">
      <c r="A263">
        <v>3522802</v>
      </c>
      <c r="B263" t="s">
        <v>286</v>
      </c>
      <c r="C263">
        <v>7</v>
      </c>
      <c r="D263" t="s">
        <v>44</v>
      </c>
      <c r="E263">
        <v>507.99700000000001</v>
      </c>
      <c r="F263">
        <v>21979.485000000001</v>
      </c>
      <c r="G263">
        <v>3</v>
      </c>
      <c r="H263">
        <v>323994.57699999999</v>
      </c>
      <c r="I263">
        <v>348</v>
      </c>
    </row>
    <row r="264" spans="1:9" x14ac:dyDescent="0.35">
      <c r="A264">
        <v>3522901</v>
      </c>
      <c r="B264" t="s">
        <v>287</v>
      </c>
      <c r="C264">
        <v>3</v>
      </c>
      <c r="D264" t="s">
        <v>21</v>
      </c>
      <c r="E264">
        <v>140.023</v>
      </c>
      <c r="F264">
        <v>16440.433000000001</v>
      </c>
      <c r="G264">
        <v>7</v>
      </c>
      <c r="H264">
        <v>96055.194000000003</v>
      </c>
      <c r="I264">
        <v>176</v>
      </c>
    </row>
    <row r="265" spans="1:9" x14ac:dyDescent="0.35">
      <c r="A265">
        <v>3523008</v>
      </c>
      <c r="B265" t="s">
        <v>288</v>
      </c>
      <c r="C265">
        <v>1</v>
      </c>
      <c r="D265" t="s">
        <v>29</v>
      </c>
      <c r="E265">
        <v>301.65300000000002</v>
      </c>
      <c r="F265">
        <v>12479.561</v>
      </c>
      <c r="G265">
        <v>4</v>
      </c>
      <c r="H265">
        <v>108004.47100000001</v>
      </c>
      <c r="I265">
        <v>136</v>
      </c>
    </row>
    <row r="266" spans="1:9" x14ac:dyDescent="0.35">
      <c r="A266">
        <v>3523107</v>
      </c>
      <c r="B266" t="s">
        <v>289</v>
      </c>
      <c r="C266">
        <v>10</v>
      </c>
      <c r="D266" t="s">
        <v>67</v>
      </c>
      <c r="E266">
        <v>82.622</v>
      </c>
      <c r="F266">
        <v>36692.572</v>
      </c>
      <c r="G266">
        <v>21</v>
      </c>
      <c r="H266">
        <v>85547.236999999994</v>
      </c>
      <c r="I266">
        <v>742</v>
      </c>
    </row>
    <row r="267" spans="1:9" x14ac:dyDescent="0.35">
      <c r="A267">
        <v>3523206</v>
      </c>
      <c r="B267" t="s">
        <v>290</v>
      </c>
      <c r="C267">
        <v>7</v>
      </c>
      <c r="D267" t="s">
        <v>44</v>
      </c>
      <c r="E267">
        <v>1003.86</v>
      </c>
      <c r="F267">
        <v>76927.478000000003</v>
      </c>
      <c r="G267">
        <v>17</v>
      </c>
      <c r="H267">
        <v>525081.17799999996</v>
      </c>
      <c r="I267">
        <v>446</v>
      </c>
    </row>
    <row r="268" spans="1:9" x14ac:dyDescent="0.35">
      <c r="A268">
        <v>3523305</v>
      </c>
      <c r="B268" t="s">
        <v>291</v>
      </c>
      <c r="C268">
        <v>16</v>
      </c>
      <c r="D268" t="s">
        <v>85</v>
      </c>
      <c r="E268">
        <v>273.66699999999997</v>
      </c>
      <c r="F268">
        <v>18245.668000000001</v>
      </c>
      <c r="G268">
        <v>5</v>
      </c>
      <c r="H268">
        <v>179550.69399999999</v>
      </c>
      <c r="I268">
        <v>308</v>
      </c>
    </row>
    <row r="269" spans="1:9" x14ac:dyDescent="0.35">
      <c r="A269">
        <v>3523404</v>
      </c>
      <c r="B269" t="s">
        <v>292</v>
      </c>
      <c r="C269">
        <v>4</v>
      </c>
      <c r="D269" t="s">
        <v>14</v>
      </c>
      <c r="E269">
        <v>322.27600000000001</v>
      </c>
      <c r="F269">
        <v>48727.428</v>
      </c>
      <c r="G269">
        <v>20</v>
      </c>
      <c r="H269">
        <v>333235.36700000003</v>
      </c>
      <c r="I269">
        <v>933</v>
      </c>
    </row>
    <row r="270" spans="1:9" x14ac:dyDescent="0.35">
      <c r="A270">
        <v>3523503</v>
      </c>
      <c r="B270" t="s">
        <v>293</v>
      </c>
      <c r="C270">
        <v>13</v>
      </c>
      <c r="D270" t="s">
        <v>18</v>
      </c>
      <c r="E270">
        <v>979.81700000000001</v>
      </c>
      <c r="F270">
        <v>88790.683000000005</v>
      </c>
      <c r="G270">
        <v>13</v>
      </c>
      <c r="H270">
        <v>395471.00900000002</v>
      </c>
      <c r="I270">
        <v>483</v>
      </c>
    </row>
    <row r="271" spans="1:9" x14ac:dyDescent="0.35">
      <c r="A271">
        <v>3523602</v>
      </c>
      <c r="B271" t="s">
        <v>294</v>
      </c>
      <c r="C271">
        <v>4</v>
      </c>
      <c r="D271" t="s">
        <v>14</v>
      </c>
      <c r="E271">
        <v>564.60299999999995</v>
      </c>
      <c r="F271">
        <v>40404.428999999996</v>
      </c>
      <c r="G271">
        <v>6</v>
      </c>
      <c r="H271">
        <v>169991.14799999999</v>
      </c>
      <c r="I271">
        <v>308</v>
      </c>
    </row>
    <row r="272" spans="1:9" x14ac:dyDescent="0.35">
      <c r="A272">
        <v>3523701</v>
      </c>
      <c r="B272" t="s">
        <v>295</v>
      </c>
      <c r="C272">
        <v>6</v>
      </c>
      <c r="D272" t="s">
        <v>55</v>
      </c>
      <c r="E272">
        <v>161.11799999999999</v>
      </c>
      <c r="F272">
        <v>26821.71</v>
      </c>
      <c r="G272">
        <v>5</v>
      </c>
      <c r="H272">
        <v>154626.10200000001</v>
      </c>
      <c r="I272">
        <v>300</v>
      </c>
    </row>
    <row r="273" spans="1:9" x14ac:dyDescent="0.35">
      <c r="A273">
        <v>3523800</v>
      </c>
      <c r="B273" t="s">
        <v>296</v>
      </c>
      <c r="C273">
        <v>4</v>
      </c>
      <c r="D273" t="s">
        <v>14</v>
      </c>
      <c r="E273">
        <v>138.98599999999999</v>
      </c>
      <c r="F273">
        <v>11756.281999999999</v>
      </c>
      <c r="G273">
        <v>1</v>
      </c>
      <c r="H273">
        <v>134192.00099999999</v>
      </c>
      <c r="I273">
        <v>195</v>
      </c>
    </row>
    <row r="274" spans="1:9" x14ac:dyDescent="0.35">
      <c r="A274">
        <v>3523909</v>
      </c>
      <c r="B274" t="s">
        <v>297</v>
      </c>
      <c r="C274">
        <v>13</v>
      </c>
      <c r="D274" t="s">
        <v>18</v>
      </c>
      <c r="E274">
        <v>640.71900000000005</v>
      </c>
      <c r="F274">
        <v>90449.542000000001</v>
      </c>
      <c r="G274">
        <v>25</v>
      </c>
      <c r="H274">
        <v>712647.201</v>
      </c>
      <c r="I274">
        <v>1650</v>
      </c>
    </row>
    <row r="275" spans="1:9" x14ac:dyDescent="0.35">
      <c r="A275">
        <v>3524006</v>
      </c>
      <c r="B275" t="s">
        <v>298</v>
      </c>
      <c r="C275">
        <v>4</v>
      </c>
      <c r="D275" t="s">
        <v>14</v>
      </c>
      <c r="E275">
        <v>200.816</v>
      </c>
      <c r="F275">
        <v>47393.392999999996</v>
      </c>
      <c r="G275">
        <v>21</v>
      </c>
      <c r="H275">
        <v>310786.85399999999</v>
      </c>
      <c r="I275">
        <v>1423</v>
      </c>
    </row>
    <row r="276" spans="1:9" x14ac:dyDescent="0.35">
      <c r="A276">
        <v>3524105</v>
      </c>
      <c r="B276" t="s">
        <v>299</v>
      </c>
      <c r="C276">
        <v>6</v>
      </c>
      <c r="D276" t="s">
        <v>55</v>
      </c>
      <c r="E276">
        <v>704.65899999999999</v>
      </c>
      <c r="F276">
        <v>115526.031</v>
      </c>
      <c r="G276">
        <v>19</v>
      </c>
      <c r="H276">
        <v>414527.19799999997</v>
      </c>
      <c r="I276">
        <v>1092</v>
      </c>
    </row>
    <row r="277" spans="1:9" x14ac:dyDescent="0.35">
      <c r="A277">
        <v>3524204</v>
      </c>
      <c r="B277" t="s">
        <v>300</v>
      </c>
      <c r="C277">
        <v>2</v>
      </c>
      <c r="D277" t="s">
        <v>25</v>
      </c>
      <c r="E277">
        <v>273.43799999999999</v>
      </c>
      <c r="F277">
        <v>27694.744999999999</v>
      </c>
      <c r="G277">
        <v>4</v>
      </c>
      <c r="H277">
        <v>153946.16399999999</v>
      </c>
      <c r="I277">
        <v>174</v>
      </c>
    </row>
    <row r="278" spans="1:9" x14ac:dyDescent="0.35">
      <c r="A278">
        <v>3524303</v>
      </c>
      <c r="B278" t="s">
        <v>301</v>
      </c>
      <c r="C278">
        <v>11</v>
      </c>
      <c r="D278" t="s">
        <v>27</v>
      </c>
      <c r="E278">
        <v>706.60199999999998</v>
      </c>
      <c r="F278">
        <v>54336.260999999999</v>
      </c>
      <c r="G278">
        <v>13</v>
      </c>
      <c r="H278">
        <v>428804.05499999999</v>
      </c>
      <c r="I278">
        <v>878</v>
      </c>
    </row>
    <row r="279" spans="1:9" x14ac:dyDescent="0.35">
      <c r="A279">
        <v>3524402</v>
      </c>
      <c r="B279" t="s">
        <v>302</v>
      </c>
      <c r="C279">
        <v>15</v>
      </c>
      <c r="D279" t="s">
        <v>48</v>
      </c>
      <c r="E279">
        <v>464.27199999999999</v>
      </c>
      <c r="F279">
        <v>41371.955000000002</v>
      </c>
      <c r="G279">
        <v>12</v>
      </c>
      <c r="H279">
        <v>569085.79799999995</v>
      </c>
      <c r="I279">
        <v>1606</v>
      </c>
    </row>
    <row r="280" spans="1:9" x14ac:dyDescent="0.35">
      <c r="A280">
        <v>3524501</v>
      </c>
      <c r="B280" t="s">
        <v>303</v>
      </c>
      <c r="C280">
        <v>14</v>
      </c>
      <c r="D280" t="s">
        <v>12</v>
      </c>
      <c r="E280">
        <v>145.13300000000001</v>
      </c>
      <c r="F280">
        <v>22942.539000000001</v>
      </c>
      <c r="G280">
        <v>6</v>
      </c>
      <c r="H280">
        <v>108610.64</v>
      </c>
      <c r="I280">
        <v>262</v>
      </c>
    </row>
    <row r="281" spans="1:9" x14ac:dyDescent="0.35">
      <c r="A281">
        <v>3524600</v>
      </c>
      <c r="B281" t="s">
        <v>304</v>
      </c>
      <c r="C281">
        <v>16</v>
      </c>
      <c r="D281" t="s">
        <v>85</v>
      </c>
      <c r="E281">
        <v>704.18899999999996</v>
      </c>
      <c r="F281">
        <v>38568.023000000001</v>
      </c>
      <c r="G281">
        <v>9</v>
      </c>
      <c r="H281">
        <v>283785.60600000003</v>
      </c>
      <c r="I281">
        <v>351</v>
      </c>
    </row>
    <row r="282" spans="1:9" x14ac:dyDescent="0.35">
      <c r="A282">
        <v>3524709</v>
      </c>
      <c r="B282" t="s">
        <v>305</v>
      </c>
      <c r="C282">
        <v>4</v>
      </c>
      <c r="D282" t="s">
        <v>14</v>
      </c>
      <c r="E282">
        <v>141.39099999999999</v>
      </c>
      <c r="F282">
        <v>31787.583999999999</v>
      </c>
      <c r="G282">
        <v>18</v>
      </c>
      <c r="H282">
        <v>159915.71799999999</v>
      </c>
      <c r="I282">
        <v>759</v>
      </c>
    </row>
    <row r="283" spans="1:9" x14ac:dyDescent="0.35">
      <c r="A283">
        <v>3524808</v>
      </c>
      <c r="B283" t="s">
        <v>306</v>
      </c>
      <c r="C283">
        <v>14</v>
      </c>
      <c r="D283" t="s">
        <v>12</v>
      </c>
      <c r="E283">
        <v>368.57400000000001</v>
      </c>
      <c r="F283">
        <v>24240.555</v>
      </c>
      <c r="G283">
        <v>4</v>
      </c>
      <c r="H283">
        <v>279037.70600000001</v>
      </c>
      <c r="I283">
        <v>599</v>
      </c>
    </row>
    <row r="284" spans="1:9" x14ac:dyDescent="0.35">
      <c r="A284">
        <v>3524907</v>
      </c>
      <c r="B284" t="s">
        <v>307</v>
      </c>
      <c r="C284">
        <v>15</v>
      </c>
      <c r="D284" t="s">
        <v>48</v>
      </c>
      <c r="E284">
        <v>184.41300000000001</v>
      </c>
      <c r="F284">
        <v>15349.512000000001</v>
      </c>
      <c r="G284">
        <v>5</v>
      </c>
      <c r="H284">
        <v>174053.93799999999</v>
      </c>
      <c r="I284">
        <v>323</v>
      </c>
    </row>
    <row r="285" spans="1:9" x14ac:dyDescent="0.35">
      <c r="A285">
        <v>3525003</v>
      </c>
      <c r="B285" t="s">
        <v>308</v>
      </c>
      <c r="C285">
        <v>10</v>
      </c>
      <c r="D285" t="s">
        <v>67</v>
      </c>
      <c r="E285">
        <v>17.449000000000002</v>
      </c>
      <c r="F285">
        <v>7049.0469999999996</v>
      </c>
      <c r="G285">
        <v>7</v>
      </c>
      <c r="H285">
        <v>3303.0610000000001</v>
      </c>
      <c r="I285">
        <v>72</v>
      </c>
    </row>
    <row r="286" spans="1:9" x14ac:dyDescent="0.35">
      <c r="A286">
        <v>3525102</v>
      </c>
      <c r="B286" t="s">
        <v>309</v>
      </c>
      <c r="C286">
        <v>11</v>
      </c>
      <c r="D286" t="s">
        <v>27</v>
      </c>
      <c r="E286">
        <v>501.87</v>
      </c>
      <c r="F286">
        <v>22093.488000000001</v>
      </c>
      <c r="G286">
        <v>5</v>
      </c>
      <c r="H286">
        <v>192961.99799999999</v>
      </c>
      <c r="I286">
        <v>558</v>
      </c>
    </row>
    <row r="287" spans="1:9" x14ac:dyDescent="0.35">
      <c r="A287">
        <v>3525201</v>
      </c>
      <c r="B287" t="s">
        <v>310</v>
      </c>
      <c r="C287">
        <v>4</v>
      </c>
      <c r="D287" t="s">
        <v>14</v>
      </c>
      <c r="E287">
        <v>207.54900000000001</v>
      </c>
      <c r="F287">
        <v>59695.913</v>
      </c>
      <c r="G287">
        <v>29</v>
      </c>
      <c r="H287">
        <v>356897.56099999999</v>
      </c>
      <c r="I287">
        <v>852</v>
      </c>
    </row>
    <row r="288" spans="1:9" x14ac:dyDescent="0.35">
      <c r="A288">
        <v>3525300</v>
      </c>
      <c r="B288" t="s">
        <v>311</v>
      </c>
      <c r="C288">
        <v>3</v>
      </c>
      <c r="D288" t="s">
        <v>21</v>
      </c>
      <c r="E288">
        <v>687.10299999999995</v>
      </c>
      <c r="F288">
        <v>68667.258000000002</v>
      </c>
      <c r="G288">
        <v>24</v>
      </c>
      <c r="H288">
        <v>465588.01799999998</v>
      </c>
      <c r="I288">
        <v>1011</v>
      </c>
    </row>
    <row r="289" spans="1:9" x14ac:dyDescent="0.35">
      <c r="A289">
        <v>3525409</v>
      </c>
      <c r="B289" t="s">
        <v>312</v>
      </c>
      <c r="C289">
        <v>6</v>
      </c>
      <c r="D289" t="s">
        <v>55</v>
      </c>
      <c r="E289">
        <v>141.971</v>
      </c>
      <c r="F289">
        <v>30361.600999999999</v>
      </c>
      <c r="G289">
        <v>10</v>
      </c>
      <c r="H289">
        <v>113051.974</v>
      </c>
      <c r="I289">
        <v>169</v>
      </c>
    </row>
    <row r="290" spans="1:9" x14ac:dyDescent="0.35">
      <c r="A290">
        <v>3525508</v>
      </c>
      <c r="B290" t="s">
        <v>313</v>
      </c>
      <c r="C290">
        <v>4</v>
      </c>
      <c r="D290" t="s">
        <v>14</v>
      </c>
      <c r="E290">
        <v>374.291</v>
      </c>
      <c r="F290">
        <v>47844.419000000002</v>
      </c>
      <c r="G290">
        <v>6</v>
      </c>
      <c r="H290">
        <v>344354.761</v>
      </c>
      <c r="I290">
        <v>541</v>
      </c>
    </row>
    <row r="291" spans="1:9" x14ac:dyDescent="0.35">
      <c r="A291">
        <v>3525607</v>
      </c>
      <c r="B291" t="s">
        <v>314</v>
      </c>
      <c r="C291">
        <v>8</v>
      </c>
      <c r="D291" t="s">
        <v>34</v>
      </c>
      <c r="E291">
        <v>415.452</v>
      </c>
      <c r="F291">
        <v>14279.397000000001</v>
      </c>
      <c r="G291">
        <v>2</v>
      </c>
      <c r="H291">
        <v>172979.12700000001</v>
      </c>
      <c r="I291">
        <v>176</v>
      </c>
    </row>
    <row r="292" spans="1:9" x14ac:dyDescent="0.35">
      <c r="A292">
        <v>3525706</v>
      </c>
      <c r="B292" t="s">
        <v>315</v>
      </c>
      <c r="C292">
        <v>14</v>
      </c>
      <c r="D292" t="s">
        <v>12</v>
      </c>
      <c r="E292">
        <v>860.2</v>
      </c>
      <c r="F292">
        <v>92580.370999999999</v>
      </c>
      <c r="G292">
        <v>23</v>
      </c>
      <c r="H292">
        <v>547323.554</v>
      </c>
      <c r="I292">
        <v>747</v>
      </c>
    </row>
    <row r="293" spans="1:9" x14ac:dyDescent="0.35">
      <c r="A293">
        <v>3525805</v>
      </c>
      <c r="B293" t="s">
        <v>316</v>
      </c>
      <c r="C293">
        <v>8</v>
      </c>
      <c r="D293" t="s">
        <v>34</v>
      </c>
      <c r="E293">
        <v>128.18299999999999</v>
      </c>
      <c r="F293">
        <v>17925.925999999999</v>
      </c>
      <c r="G293">
        <v>4</v>
      </c>
      <c r="H293">
        <v>70039.067999999999</v>
      </c>
      <c r="I293">
        <v>74</v>
      </c>
    </row>
    <row r="294" spans="1:9" x14ac:dyDescent="0.35">
      <c r="A294">
        <v>3525854</v>
      </c>
      <c r="B294" t="s">
        <v>317</v>
      </c>
      <c r="C294">
        <v>13</v>
      </c>
      <c r="D294" t="s">
        <v>18</v>
      </c>
      <c r="E294">
        <v>56.685000000000002</v>
      </c>
      <c r="F294">
        <v>11670.712</v>
      </c>
      <c r="G294">
        <v>6</v>
      </c>
      <c r="H294">
        <v>70893.751999999993</v>
      </c>
      <c r="I294">
        <v>192</v>
      </c>
    </row>
    <row r="295" spans="1:9" x14ac:dyDescent="0.35">
      <c r="A295">
        <v>3525904</v>
      </c>
      <c r="B295" t="s">
        <v>318</v>
      </c>
      <c r="C295">
        <v>4</v>
      </c>
      <c r="D295" t="s">
        <v>14</v>
      </c>
      <c r="E295">
        <v>431.20699999999999</v>
      </c>
      <c r="F295">
        <v>110386.773</v>
      </c>
      <c r="G295">
        <v>40</v>
      </c>
      <c r="H295">
        <v>557474.728</v>
      </c>
      <c r="I295">
        <v>2781</v>
      </c>
    </row>
    <row r="296" spans="1:9" x14ac:dyDescent="0.35">
      <c r="A296">
        <v>3526001</v>
      </c>
      <c r="B296" t="s">
        <v>319</v>
      </c>
      <c r="C296">
        <v>9</v>
      </c>
      <c r="D296" t="s">
        <v>10</v>
      </c>
      <c r="E296">
        <v>582.56500000000005</v>
      </c>
      <c r="F296">
        <v>81926.437000000005</v>
      </c>
      <c r="G296">
        <v>22</v>
      </c>
      <c r="H296">
        <v>318893.35499999998</v>
      </c>
      <c r="I296">
        <v>368</v>
      </c>
    </row>
    <row r="297" spans="1:9" x14ac:dyDescent="0.35">
      <c r="A297">
        <v>3526100</v>
      </c>
      <c r="B297" t="s">
        <v>320</v>
      </c>
      <c r="C297">
        <v>16</v>
      </c>
      <c r="D297" t="s">
        <v>85</v>
      </c>
      <c r="E297">
        <v>812.79899999999998</v>
      </c>
      <c r="F297">
        <v>37395.248</v>
      </c>
      <c r="G297">
        <v>7</v>
      </c>
      <c r="H297">
        <v>322711.777</v>
      </c>
      <c r="I297">
        <v>302</v>
      </c>
    </row>
    <row r="298" spans="1:9" x14ac:dyDescent="0.35">
      <c r="A298">
        <v>3526209</v>
      </c>
      <c r="B298" t="s">
        <v>321</v>
      </c>
      <c r="C298">
        <v>10</v>
      </c>
      <c r="D298" t="s">
        <v>67</v>
      </c>
      <c r="E298">
        <v>522.16899999999998</v>
      </c>
      <c r="F298">
        <v>37957.972999999998</v>
      </c>
      <c r="G298">
        <v>12</v>
      </c>
      <c r="H298">
        <v>602035.19200000004</v>
      </c>
      <c r="I298">
        <v>822</v>
      </c>
    </row>
    <row r="299" spans="1:9" x14ac:dyDescent="0.35">
      <c r="A299">
        <v>3526308</v>
      </c>
      <c r="B299" t="s">
        <v>322</v>
      </c>
      <c r="C299">
        <v>15</v>
      </c>
      <c r="D299" t="s">
        <v>48</v>
      </c>
      <c r="E299">
        <v>255.47200000000001</v>
      </c>
      <c r="F299">
        <v>29799.241000000002</v>
      </c>
      <c r="G299">
        <v>10</v>
      </c>
      <c r="H299">
        <v>187563.94899999999</v>
      </c>
      <c r="I299">
        <v>154</v>
      </c>
    </row>
    <row r="300" spans="1:9" x14ac:dyDescent="0.35">
      <c r="A300">
        <v>3526407</v>
      </c>
      <c r="B300" t="s">
        <v>323</v>
      </c>
      <c r="C300">
        <v>13</v>
      </c>
      <c r="D300" t="s">
        <v>18</v>
      </c>
      <c r="E300">
        <v>384.274</v>
      </c>
      <c r="F300">
        <v>77035.273000000001</v>
      </c>
      <c r="G300">
        <v>20</v>
      </c>
      <c r="H300">
        <v>389301.41399999999</v>
      </c>
      <c r="I300">
        <v>1956</v>
      </c>
    </row>
    <row r="301" spans="1:9" x14ac:dyDescent="0.35">
      <c r="A301">
        <v>3526506</v>
      </c>
      <c r="B301" t="s">
        <v>324</v>
      </c>
      <c r="C301">
        <v>1</v>
      </c>
      <c r="D301" t="s">
        <v>29</v>
      </c>
      <c r="E301">
        <v>537.67499999999995</v>
      </c>
      <c r="F301">
        <v>55788.81</v>
      </c>
      <c r="G301">
        <v>15</v>
      </c>
      <c r="H301">
        <v>181347.46900000001</v>
      </c>
      <c r="I301">
        <v>200</v>
      </c>
    </row>
    <row r="302" spans="1:9" x14ac:dyDescent="0.35">
      <c r="A302">
        <v>3526605</v>
      </c>
      <c r="B302" t="s">
        <v>325</v>
      </c>
      <c r="C302">
        <v>15</v>
      </c>
      <c r="D302" t="s">
        <v>48</v>
      </c>
      <c r="E302">
        <v>167.06700000000001</v>
      </c>
      <c r="F302">
        <v>21508.819</v>
      </c>
      <c r="G302">
        <v>6</v>
      </c>
      <c r="H302">
        <v>52659.618000000002</v>
      </c>
      <c r="I302">
        <v>134</v>
      </c>
    </row>
    <row r="303" spans="1:9" x14ac:dyDescent="0.35">
      <c r="A303">
        <v>3526704</v>
      </c>
      <c r="B303" t="s">
        <v>326</v>
      </c>
      <c r="C303">
        <v>4</v>
      </c>
      <c r="D303" t="s">
        <v>14</v>
      </c>
      <c r="E303">
        <v>402.87099999999998</v>
      </c>
      <c r="F303">
        <v>77661.751000000004</v>
      </c>
      <c r="G303">
        <v>19</v>
      </c>
      <c r="H303">
        <v>336703.30900000001</v>
      </c>
      <c r="I303">
        <v>709</v>
      </c>
    </row>
    <row r="304" spans="1:9" x14ac:dyDescent="0.35">
      <c r="A304">
        <v>3526803</v>
      </c>
      <c r="B304" t="s">
        <v>327</v>
      </c>
      <c r="C304">
        <v>3</v>
      </c>
      <c r="D304" t="s">
        <v>21</v>
      </c>
      <c r="E304">
        <v>809.54100000000005</v>
      </c>
      <c r="F304">
        <v>96306.558000000005</v>
      </c>
      <c r="G304">
        <v>25</v>
      </c>
      <c r="H304">
        <v>385024.36700000003</v>
      </c>
      <c r="I304">
        <v>723</v>
      </c>
    </row>
    <row r="305" spans="1:9" x14ac:dyDescent="0.35">
      <c r="A305">
        <v>3526902</v>
      </c>
      <c r="B305" t="s">
        <v>328</v>
      </c>
      <c r="C305">
        <v>4</v>
      </c>
      <c r="D305" t="s">
        <v>14</v>
      </c>
      <c r="E305">
        <v>580.71100000000001</v>
      </c>
      <c r="F305">
        <v>59227.983</v>
      </c>
      <c r="G305">
        <v>21</v>
      </c>
      <c r="H305">
        <v>632274.26500000001</v>
      </c>
      <c r="I305">
        <v>1785</v>
      </c>
    </row>
    <row r="306" spans="1:9" x14ac:dyDescent="0.35">
      <c r="A306">
        <v>3527009</v>
      </c>
      <c r="B306" t="s">
        <v>329</v>
      </c>
      <c r="C306">
        <v>4</v>
      </c>
      <c r="D306" t="s">
        <v>14</v>
      </c>
      <c r="E306">
        <v>48.756</v>
      </c>
      <c r="F306">
        <v>21648.350999999999</v>
      </c>
      <c r="G306">
        <v>13</v>
      </c>
      <c r="H306">
        <v>65367.177000000003</v>
      </c>
      <c r="I306">
        <v>185</v>
      </c>
    </row>
    <row r="307" spans="1:9" x14ac:dyDescent="0.35">
      <c r="A307">
        <v>3527108</v>
      </c>
      <c r="B307" t="s">
        <v>330</v>
      </c>
      <c r="C307">
        <v>3</v>
      </c>
      <c r="D307" t="s">
        <v>21</v>
      </c>
      <c r="E307">
        <v>570.05799999999999</v>
      </c>
      <c r="F307">
        <v>81783.83</v>
      </c>
      <c r="G307">
        <v>18</v>
      </c>
      <c r="H307">
        <v>235255.614</v>
      </c>
      <c r="I307">
        <v>591</v>
      </c>
    </row>
    <row r="308" spans="1:9" x14ac:dyDescent="0.35">
      <c r="A308">
        <v>3527207</v>
      </c>
      <c r="B308" t="s">
        <v>331</v>
      </c>
      <c r="C308">
        <v>15</v>
      </c>
      <c r="D308" t="s">
        <v>48</v>
      </c>
      <c r="E308">
        <v>414.16</v>
      </c>
      <c r="F308">
        <v>48342.088000000003</v>
      </c>
      <c r="G308">
        <v>17</v>
      </c>
      <c r="H308">
        <v>260814.424</v>
      </c>
      <c r="I308">
        <v>409</v>
      </c>
    </row>
    <row r="309" spans="1:9" x14ac:dyDescent="0.35">
      <c r="A309">
        <v>3527256</v>
      </c>
      <c r="B309" t="s">
        <v>332</v>
      </c>
      <c r="C309">
        <v>1</v>
      </c>
      <c r="D309" t="s">
        <v>29</v>
      </c>
      <c r="E309">
        <v>113.94</v>
      </c>
      <c r="F309">
        <v>21899.178</v>
      </c>
      <c r="G309">
        <v>6</v>
      </c>
      <c r="H309">
        <v>91277.914999999994</v>
      </c>
      <c r="I309">
        <v>136</v>
      </c>
    </row>
    <row r="310" spans="1:9" x14ac:dyDescent="0.35">
      <c r="A310">
        <v>3527306</v>
      </c>
      <c r="B310" t="s">
        <v>333</v>
      </c>
      <c r="C310">
        <v>4</v>
      </c>
      <c r="D310" t="s">
        <v>14</v>
      </c>
      <c r="E310">
        <v>55.133000000000003</v>
      </c>
      <c r="F310">
        <v>23312.745999999999</v>
      </c>
      <c r="G310">
        <v>16</v>
      </c>
      <c r="H310">
        <v>77988.072</v>
      </c>
      <c r="I310">
        <v>499</v>
      </c>
    </row>
    <row r="311" spans="1:9" x14ac:dyDescent="0.35">
      <c r="A311">
        <v>3527405</v>
      </c>
      <c r="B311" t="s">
        <v>334</v>
      </c>
      <c r="C311">
        <v>9</v>
      </c>
      <c r="D311" t="s">
        <v>10</v>
      </c>
      <c r="E311">
        <v>314.81</v>
      </c>
      <c r="F311">
        <v>71213.881999999998</v>
      </c>
      <c r="G311">
        <v>24</v>
      </c>
      <c r="H311">
        <v>157541.77900000001</v>
      </c>
      <c r="I311">
        <v>258</v>
      </c>
    </row>
    <row r="312" spans="1:9" x14ac:dyDescent="0.35">
      <c r="A312">
        <v>3527504</v>
      </c>
      <c r="B312" t="s">
        <v>335</v>
      </c>
      <c r="C312">
        <v>3</v>
      </c>
      <c r="D312" t="s">
        <v>21</v>
      </c>
      <c r="E312">
        <v>189.536</v>
      </c>
      <c r="F312">
        <v>35557.913</v>
      </c>
      <c r="G312">
        <v>11</v>
      </c>
      <c r="H312">
        <v>82269.036000000007</v>
      </c>
      <c r="I312">
        <v>99</v>
      </c>
    </row>
    <row r="313" spans="1:9" x14ac:dyDescent="0.35">
      <c r="A313">
        <v>3527603</v>
      </c>
      <c r="B313" t="s">
        <v>336</v>
      </c>
      <c r="C313">
        <v>11</v>
      </c>
      <c r="D313" t="s">
        <v>27</v>
      </c>
      <c r="E313">
        <v>598.25699999999995</v>
      </c>
      <c r="F313">
        <v>39000.148000000001</v>
      </c>
      <c r="G313">
        <v>7</v>
      </c>
      <c r="H313">
        <v>113754.56</v>
      </c>
      <c r="I313">
        <v>203</v>
      </c>
    </row>
    <row r="314" spans="1:9" x14ac:dyDescent="0.35">
      <c r="A314">
        <v>3527702</v>
      </c>
      <c r="B314" t="s">
        <v>337</v>
      </c>
      <c r="C314">
        <v>1</v>
      </c>
      <c r="D314" t="s">
        <v>29</v>
      </c>
      <c r="E314">
        <v>166.57599999999999</v>
      </c>
      <c r="F314">
        <v>35144.178</v>
      </c>
      <c r="G314">
        <v>11</v>
      </c>
      <c r="H314">
        <v>89043.039000000004</v>
      </c>
      <c r="I314">
        <v>101</v>
      </c>
    </row>
    <row r="315" spans="1:9" x14ac:dyDescent="0.35">
      <c r="A315">
        <v>3527801</v>
      </c>
      <c r="B315" t="s">
        <v>338</v>
      </c>
      <c r="C315">
        <v>8</v>
      </c>
      <c r="D315" t="s">
        <v>34</v>
      </c>
      <c r="E315">
        <v>155.17099999999999</v>
      </c>
      <c r="F315">
        <v>20157.490000000002</v>
      </c>
      <c r="G315">
        <v>8</v>
      </c>
      <c r="H315">
        <v>87803.622999999992</v>
      </c>
      <c r="I315">
        <v>167</v>
      </c>
    </row>
    <row r="316" spans="1:9" x14ac:dyDescent="0.35">
      <c r="A316">
        <v>3527900</v>
      </c>
      <c r="B316" t="s">
        <v>339</v>
      </c>
      <c r="C316">
        <v>8</v>
      </c>
      <c r="D316" t="s">
        <v>34</v>
      </c>
      <c r="E316">
        <v>475.226</v>
      </c>
      <c r="F316">
        <v>47491.625999999997</v>
      </c>
      <c r="G316">
        <v>7</v>
      </c>
      <c r="H316">
        <v>241657.171</v>
      </c>
      <c r="I316">
        <v>290</v>
      </c>
    </row>
    <row r="317" spans="1:9" x14ac:dyDescent="0.35">
      <c r="A317">
        <v>3528007</v>
      </c>
      <c r="B317" t="s">
        <v>340</v>
      </c>
      <c r="C317">
        <v>3</v>
      </c>
      <c r="D317" t="s">
        <v>21</v>
      </c>
      <c r="E317">
        <v>224.51400000000001</v>
      </c>
      <c r="F317">
        <v>44071.175999999999</v>
      </c>
      <c r="G317">
        <v>14</v>
      </c>
      <c r="H317">
        <v>184611.23800000001</v>
      </c>
      <c r="I317">
        <v>325</v>
      </c>
    </row>
    <row r="318" spans="1:9" x14ac:dyDescent="0.35">
      <c r="A318">
        <v>3528106</v>
      </c>
      <c r="B318" t="s">
        <v>341</v>
      </c>
      <c r="C318">
        <v>14</v>
      </c>
      <c r="D318" t="s">
        <v>12</v>
      </c>
      <c r="E318">
        <v>248.08699999999999</v>
      </c>
      <c r="F318">
        <v>28419.355</v>
      </c>
      <c r="G318">
        <v>10</v>
      </c>
      <c r="H318">
        <v>241637.622</v>
      </c>
      <c r="I318">
        <v>289</v>
      </c>
    </row>
    <row r="319" spans="1:9" x14ac:dyDescent="0.35">
      <c r="A319">
        <v>3528205</v>
      </c>
      <c r="B319" t="s">
        <v>342</v>
      </c>
      <c r="C319">
        <v>14</v>
      </c>
      <c r="D319" t="s">
        <v>12</v>
      </c>
      <c r="E319">
        <v>327.56700000000001</v>
      </c>
      <c r="F319">
        <v>34442.39</v>
      </c>
      <c r="G319">
        <v>6</v>
      </c>
      <c r="H319">
        <v>193645.413</v>
      </c>
      <c r="I319">
        <v>250</v>
      </c>
    </row>
    <row r="320" spans="1:9" x14ac:dyDescent="0.35">
      <c r="A320">
        <v>3528304</v>
      </c>
      <c r="B320" t="s">
        <v>343</v>
      </c>
      <c r="C320">
        <v>14</v>
      </c>
      <c r="D320" t="s">
        <v>12</v>
      </c>
      <c r="E320">
        <v>312.28199999999998</v>
      </c>
      <c r="F320">
        <v>23180.154999999999</v>
      </c>
      <c r="G320">
        <v>3</v>
      </c>
      <c r="H320">
        <v>153017.67600000001</v>
      </c>
      <c r="I320">
        <v>138</v>
      </c>
    </row>
    <row r="321" spans="1:9" x14ac:dyDescent="0.35">
      <c r="A321">
        <v>3528403</v>
      </c>
      <c r="B321" t="s">
        <v>344</v>
      </c>
      <c r="C321">
        <v>13</v>
      </c>
      <c r="D321" t="s">
        <v>18</v>
      </c>
      <c r="E321">
        <v>210.149</v>
      </c>
      <c r="F321">
        <v>57861.824999999997</v>
      </c>
      <c r="G321">
        <v>15</v>
      </c>
      <c r="H321">
        <v>371331.201</v>
      </c>
      <c r="I321">
        <v>1151</v>
      </c>
    </row>
    <row r="322" spans="1:9" x14ac:dyDescent="0.35">
      <c r="A322">
        <v>3528502</v>
      </c>
      <c r="B322" t="s">
        <v>345</v>
      </c>
      <c r="C322">
        <v>10</v>
      </c>
      <c r="D322" t="s">
        <v>67</v>
      </c>
      <c r="E322">
        <v>320.697</v>
      </c>
      <c r="F322">
        <v>100632.43700000001</v>
      </c>
      <c r="G322">
        <v>30</v>
      </c>
      <c r="H322">
        <v>507867</v>
      </c>
      <c r="I322">
        <v>1960</v>
      </c>
    </row>
    <row r="323" spans="1:9" x14ac:dyDescent="0.35">
      <c r="A323">
        <v>3528601</v>
      </c>
      <c r="B323" t="s">
        <v>346</v>
      </c>
      <c r="C323">
        <v>13</v>
      </c>
      <c r="D323" t="s">
        <v>18</v>
      </c>
      <c r="E323">
        <v>229.04599999999999</v>
      </c>
      <c r="F323">
        <v>24562.724999999999</v>
      </c>
      <c r="G323">
        <v>9</v>
      </c>
      <c r="H323">
        <v>179545.42600000001</v>
      </c>
      <c r="I323">
        <v>355</v>
      </c>
    </row>
    <row r="324" spans="1:9" x14ac:dyDescent="0.35">
      <c r="A324">
        <v>3528700</v>
      </c>
      <c r="B324" t="s">
        <v>347</v>
      </c>
      <c r="C324">
        <v>9</v>
      </c>
      <c r="D324" t="s">
        <v>10</v>
      </c>
      <c r="E324">
        <v>919.51900000000001</v>
      </c>
      <c r="F324">
        <v>113441.508</v>
      </c>
      <c r="G324">
        <v>24</v>
      </c>
      <c r="H324">
        <v>346030.65500000003</v>
      </c>
      <c r="I324">
        <v>293</v>
      </c>
    </row>
    <row r="325" spans="1:9" x14ac:dyDescent="0.35">
      <c r="A325">
        <v>3528809</v>
      </c>
      <c r="B325" t="s">
        <v>348</v>
      </c>
      <c r="C325">
        <v>8</v>
      </c>
      <c r="D325" t="s">
        <v>34</v>
      </c>
      <c r="E325">
        <v>533.49800000000005</v>
      </c>
      <c r="F325">
        <v>36344.285000000003</v>
      </c>
      <c r="G325">
        <v>15</v>
      </c>
      <c r="H325">
        <v>342936.359</v>
      </c>
      <c r="I325">
        <v>718</v>
      </c>
    </row>
    <row r="326" spans="1:9" x14ac:dyDescent="0.35">
      <c r="A326">
        <v>3528858</v>
      </c>
      <c r="B326" t="s">
        <v>349</v>
      </c>
      <c r="C326">
        <v>14</v>
      </c>
      <c r="D326" t="s">
        <v>12</v>
      </c>
      <c r="E326">
        <v>111.267</v>
      </c>
      <c r="F326">
        <v>22498.799999999999</v>
      </c>
      <c r="G326">
        <v>9</v>
      </c>
      <c r="H326">
        <v>89313.331000000006</v>
      </c>
      <c r="I326">
        <v>203</v>
      </c>
    </row>
    <row r="327" spans="1:9" x14ac:dyDescent="0.35">
      <c r="A327">
        <v>3528908</v>
      </c>
      <c r="B327" t="s">
        <v>350</v>
      </c>
      <c r="C327">
        <v>9</v>
      </c>
      <c r="D327" t="s">
        <v>10</v>
      </c>
      <c r="E327">
        <v>186.54400000000001</v>
      </c>
      <c r="F327">
        <v>31212.387999999999</v>
      </c>
      <c r="G327">
        <v>14</v>
      </c>
      <c r="H327">
        <v>99847.201000000001</v>
      </c>
      <c r="I327">
        <v>134</v>
      </c>
    </row>
    <row r="328" spans="1:9" x14ac:dyDescent="0.35">
      <c r="A328">
        <v>3529005</v>
      </c>
      <c r="B328" t="s">
        <v>351</v>
      </c>
      <c r="C328">
        <v>8</v>
      </c>
      <c r="D328" t="s">
        <v>34</v>
      </c>
      <c r="E328">
        <v>1170.5150000000001</v>
      </c>
      <c r="F328">
        <v>78726.377999999997</v>
      </c>
      <c r="G328">
        <v>18</v>
      </c>
      <c r="H328">
        <v>682820.34299999999</v>
      </c>
      <c r="I328">
        <v>2050</v>
      </c>
    </row>
    <row r="329" spans="1:9" x14ac:dyDescent="0.35">
      <c r="A329">
        <v>3529104</v>
      </c>
      <c r="B329" t="s">
        <v>352</v>
      </c>
      <c r="C329">
        <v>14</v>
      </c>
      <c r="D329" t="s">
        <v>12</v>
      </c>
      <c r="E329">
        <v>77.826999999999998</v>
      </c>
      <c r="F329">
        <v>8916.5529999999999</v>
      </c>
      <c r="G329">
        <v>5</v>
      </c>
      <c r="H329">
        <v>72676.485000000001</v>
      </c>
      <c r="I329">
        <v>100</v>
      </c>
    </row>
    <row r="330" spans="1:9" x14ac:dyDescent="0.35">
      <c r="A330">
        <v>3529203</v>
      </c>
      <c r="B330" t="s">
        <v>353</v>
      </c>
      <c r="C330">
        <v>9</v>
      </c>
      <c r="D330" t="s">
        <v>10</v>
      </c>
      <c r="E330">
        <v>1253.5640000000001</v>
      </c>
      <c r="F330">
        <v>61224.601000000002</v>
      </c>
      <c r="G330">
        <v>10</v>
      </c>
      <c r="H330">
        <v>373818.18800000002</v>
      </c>
      <c r="I330">
        <v>592</v>
      </c>
    </row>
    <row r="331" spans="1:9" x14ac:dyDescent="0.35">
      <c r="A331">
        <v>3529302</v>
      </c>
      <c r="B331" t="s">
        <v>354</v>
      </c>
      <c r="C331">
        <v>5</v>
      </c>
      <c r="D331" t="s">
        <v>38</v>
      </c>
      <c r="E331">
        <v>524.899</v>
      </c>
      <c r="F331">
        <v>69007.932000000001</v>
      </c>
      <c r="G331">
        <v>22</v>
      </c>
      <c r="H331">
        <v>369982.17099999997</v>
      </c>
      <c r="I331">
        <v>902</v>
      </c>
    </row>
    <row r="332" spans="1:9" x14ac:dyDescent="0.35">
      <c r="A332">
        <v>3529401</v>
      </c>
      <c r="B332" t="s">
        <v>355</v>
      </c>
      <c r="C332">
        <v>10</v>
      </c>
      <c r="D332" t="s">
        <v>67</v>
      </c>
      <c r="E332">
        <v>61.908999999999999</v>
      </c>
      <c r="F332">
        <v>28336.543000000001</v>
      </c>
      <c r="G332">
        <v>14</v>
      </c>
      <c r="H332">
        <v>43193.813999999998</v>
      </c>
      <c r="I332">
        <v>281</v>
      </c>
    </row>
    <row r="333" spans="1:9" x14ac:dyDescent="0.35">
      <c r="A333">
        <v>3529500</v>
      </c>
      <c r="B333" t="s">
        <v>356</v>
      </c>
      <c r="C333">
        <v>14</v>
      </c>
      <c r="D333" t="s">
        <v>12</v>
      </c>
      <c r="E333">
        <v>195.15100000000001</v>
      </c>
      <c r="F333">
        <v>31596.921999999999</v>
      </c>
      <c r="G333">
        <v>11</v>
      </c>
      <c r="H333">
        <v>109335.056</v>
      </c>
      <c r="I333">
        <v>219</v>
      </c>
    </row>
    <row r="334" spans="1:9" x14ac:dyDescent="0.35">
      <c r="A334">
        <v>3529609</v>
      </c>
      <c r="B334" t="s">
        <v>357</v>
      </c>
      <c r="C334">
        <v>14</v>
      </c>
      <c r="D334" t="s">
        <v>12</v>
      </c>
      <c r="E334">
        <v>228.19900000000001</v>
      </c>
      <c r="F334">
        <v>53129.824000000001</v>
      </c>
      <c r="G334">
        <v>16</v>
      </c>
      <c r="H334">
        <v>124111.314</v>
      </c>
      <c r="I334">
        <v>231</v>
      </c>
    </row>
    <row r="335" spans="1:9" x14ac:dyDescent="0.35">
      <c r="A335">
        <v>3529658</v>
      </c>
      <c r="B335" t="s">
        <v>358</v>
      </c>
      <c r="C335">
        <v>14</v>
      </c>
      <c r="D335" t="s">
        <v>12</v>
      </c>
      <c r="E335">
        <v>148.636</v>
      </c>
      <c r="F335">
        <v>22238.67</v>
      </c>
      <c r="G335">
        <v>8</v>
      </c>
      <c r="H335">
        <v>80092.994000000006</v>
      </c>
      <c r="I335">
        <v>126</v>
      </c>
    </row>
    <row r="336" spans="1:9" x14ac:dyDescent="0.35">
      <c r="A336">
        <v>3529708</v>
      </c>
      <c r="B336" t="s">
        <v>359</v>
      </c>
      <c r="C336">
        <v>6</v>
      </c>
      <c r="D336" t="s">
        <v>55</v>
      </c>
      <c r="E336">
        <v>820.80399999999997</v>
      </c>
      <c r="F336">
        <v>58430.498</v>
      </c>
      <c r="G336">
        <v>18</v>
      </c>
      <c r="H336">
        <v>345782.179</v>
      </c>
      <c r="I336">
        <v>474</v>
      </c>
    </row>
    <row r="337" spans="1:9" x14ac:dyDescent="0.35">
      <c r="A337">
        <v>3529807</v>
      </c>
      <c r="B337" t="s">
        <v>360</v>
      </c>
      <c r="C337">
        <v>3</v>
      </c>
      <c r="D337" t="s">
        <v>21</v>
      </c>
      <c r="E337">
        <v>213.24199999999999</v>
      </c>
      <c r="F337">
        <v>23181.24</v>
      </c>
      <c r="G337">
        <v>8</v>
      </c>
      <c r="H337">
        <v>138449.36499999999</v>
      </c>
      <c r="I337">
        <v>318</v>
      </c>
    </row>
    <row r="338" spans="1:9" x14ac:dyDescent="0.35">
      <c r="A338">
        <v>3529906</v>
      </c>
      <c r="B338" t="s">
        <v>361</v>
      </c>
      <c r="C338">
        <v>16</v>
      </c>
      <c r="D338" t="s">
        <v>85</v>
      </c>
      <c r="E338">
        <v>1001.484</v>
      </c>
      <c r="F338">
        <v>50139.722999999998</v>
      </c>
      <c r="G338">
        <v>16</v>
      </c>
      <c r="H338">
        <v>403233.52500000002</v>
      </c>
      <c r="I338">
        <v>479</v>
      </c>
    </row>
    <row r="339" spans="1:9" x14ac:dyDescent="0.35">
      <c r="A339">
        <v>3530003</v>
      </c>
      <c r="B339" t="s">
        <v>362</v>
      </c>
      <c r="C339">
        <v>14</v>
      </c>
      <c r="D339" t="s">
        <v>12</v>
      </c>
      <c r="E339">
        <v>216.82499999999999</v>
      </c>
      <c r="F339">
        <v>25108.92</v>
      </c>
      <c r="G339">
        <v>8</v>
      </c>
      <c r="H339">
        <v>159148.065</v>
      </c>
      <c r="I339">
        <v>232</v>
      </c>
    </row>
    <row r="340" spans="1:9" x14ac:dyDescent="0.35">
      <c r="A340">
        <v>3530102</v>
      </c>
      <c r="B340" t="s">
        <v>363</v>
      </c>
      <c r="C340">
        <v>1</v>
      </c>
      <c r="D340" t="s">
        <v>29</v>
      </c>
      <c r="E340">
        <v>917.69399999999996</v>
      </c>
      <c r="F340">
        <v>103377.003</v>
      </c>
      <c r="G340">
        <v>23</v>
      </c>
      <c r="H340">
        <v>547582.75199999998</v>
      </c>
      <c r="I340">
        <v>732</v>
      </c>
    </row>
    <row r="341" spans="1:9" x14ac:dyDescent="0.35">
      <c r="A341">
        <v>3530201</v>
      </c>
      <c r="B341" t="s">
        <v>364</v>
      </c>
      <c r="C341">
        <v>9</v>
      </c>
      <c r="D341" t="s">
        <v>10</v>
      </c>
      <c r="E341">
        <v>1238.931</v>
      </c>
      <c r="F341">
        <v>50422.692999999999</v>
      </c>
      <c r="G341">
        <v>10</v>
      </c>
      <c r="H341">
        <v>720635.26699999999</v>
      </c>
      <c r="I341">
        <v>639</v>
      </c>
    </row>
    <row r="342" spans="1:9" x14ac:dyDescent="0.35">
      <c r="A342">
        <v>3530300</v>
      </c>
      <c r="B342" t="s">
        <v>365</v>
      </c>
      <c r="C342">
        <v>14</v>
      </c>
      <c r="D342" t="s">
        <v>12</v>
      </c>
      <c r="E342">
        <v>243.22800000000001</v>
      </c>
      <c r="F342">
        <v>42112.116000000002</v>
      </c>
      <c r="G342">
        <v>19</v>
      </c>
      <c r="H342">
        <v>220533.261</v>
      </c>
      <c r="I342">
        <v>684</v>
      </c>
    </row>
    <row r="343" spans="1:9" x14ac:dyDescent="0.35">
      <c r="A343">
        <v>3530409</v>
      </c>
      <c r="B343" t="s">
        <v>366</v>
      </c>
      <c r="C343">
        <v>14</v>
      </c>
      <c r="D343" t="s">
        <v>12</v>
      </c>
      <c r="E343">
        <v>166.125</v>
      </c>
      <c r="F343">
        <v>16839.204000000002</v>
      </c>
      <c r="G343">
        <v>5</v>
      </c>
      <c r="H343">
        <v>138461.533</v>
      </c>
      <c r="I343">
        <v>158</v>
      </c>
    </row>
    <row r="344" spans="1:9" x14ac:dyDescent="0.35">
      <c r="A344">
        <v>3530508</v>
      </c>
      <c r="B344" t="s">
        <v>367</v>
      </c>
      <c r="C344">
        <v>4</v>
      </c>
      <c r="D344" t="s">
        <v>14</v>
      </c>
      <c r="E344">
        <v>855.15599999999995</v>
      </c>
      <c r="F344">
        <v>105698.026</v>
      </c>
      <c r="G344">
        <v>18</v>
      </c>
      <c r="H344">
        <v>512225.71799999999</v>
      </c>
      <c r="I344">
        <v>933</v>
      </c>
    </row>
    <row r="345" spans="1:9" x14ac:dyDescent="0.35">
      <c r="A345">
        <v>3530607</v>
      </c>
      <c r="B345" t="s">
        <v>368</v>
      </c>
      <c r="C345">
        <v>10</v>
      </c>
      <c r="D345" t="s">
        <v>67</v>
      </c>
      <c r="E345">
        <v>712.54100000000005</v>
      </c>
      <c r="F345">
        <v>97643.191000000006</v>
      </c>
      <c r="G345">
        <v>34</v>
      </c>
      <c r="H345">
        <v>1008422.931</v>
      </c>
      <c r="I345">
        <v>3198</v>
      </c>
    </row>
    <row r="346" spans="1:9" x14ac:dyDescent="0.35">
      <c r="A346">
        <v>3530706</v>
      </c>
      <c r="B346" t="s">
        <v>369</v>
      </c>
      <c r="C346">
        <v>4</v>
      </c>
      <c r="D346" t="s">
        <v>14</v>
      </c>
      <c r="E346">
        <v>812.75300000000004</v>
      </c>
      <c r="F346">
        <v>113407.30100000001</v>
      </c>
      <c r="G346">
        <v>20</v>
      </c>
      <c r="H346">
        <v>594367.26800000004</v>
      </c>
      <c r="I346">
        <v>1267</v>
      </c>
    </row>
    <row r="347" spans="1:9" x14ac:dyDescent="0.35">
      <c r="A347">
        <v>3530805</v>
      </c>
      <c r="B347" t="s">
        <v>370</v>
      </c>
      <c r="C347">
        <v>4</v>
      </c>
      <c r="D347" t="s">
        <v>14</v>
      </c>
      <c r="E347">
        <v>497.70800000000003</v>
      </c>
      <c r="F347">
        <v>69482.376000000004</v>
      </c>
      <c r="G347">
        <v>24</v>
      </c>
      <c r="H347">
        <v>514703.179</v>
      </c>
      <c r="I347">
        <v>1083</v>
      </c>
    </row>
    <row r="348" spans="1:9" x14ac:dyDescent="0.35">
      <c r="A348">
        <v>3530904</v>
      </c>
      <c r="B348" t="s">
        <v>371</v>
      </c>
      <c r="C348">
        <v>4</v>
      </c>
      <c r="D348" t="s">
        <v>14</v>
      </c>
      <c r="E348">
        <v>133.69800000000001</v>
      </c>
      <c r="F348">
        <v>38094.543000000012</v>
      </c>
      <c r="G348">
        <v>8</v>
      </c>
      <c r="H348">
        <v>101979.28200000001</v>
      </c>
      <c r="I348">
        <v>268</v>
      </c>
    </row>
    <row r="349" spans="1:9" x14ac:dyDescent="0.35">
      <c r="A349">
        <v>3531001</v>
      </c>
      <c r="B349" t="s">
        <v>372</v>
      </c>
      <c r="C349">
        <v>14</v>
      </c>
      <c r="D349" t="s">
        <v>12</v>
      </c>
      <c r="E349">
        <v>104.352</v>
      </c>
      <c r="F349">
        <v>11992.807000000001</v>
      </c>
      <c r="G349">
        <v>5</v>
      </c>
      <c r="H349">
        <v>62437.714999999997</v>
      </c>
      <c r="I349">
        <v>60</v>
      </c>
    </row>
    <row r="350" spans="1:9" x14ac:dyDescent="0.35">
      <c r="A350">
        <v>3531100</v>
      </c>
      <c r="B350" t="s">
        <v>373</v>
      </c>
      <c r="C350">
        <v>12</v>
      </c>
      <c r="D350" t="s">
        <v>96</v>
      </c>
      <c r="E350">
        <v>143.20500000000001</v>
      </c>
      <c r="F350">
        <v>4411.1399999999994</v>
      </c>
      <c r="G350">
        <v>2</v>
      </c>
      <c r="H350">
        <v>58405.262999999999</v>
      </c>
      <c r="I350">
        <v>281</v>
      </c>
    </row>
    <row r="351" spans="1:9" x14ac:dyDescent="0.35">
      <c r="A351">
        <v>3531209</v>
      </c>
      <c r="B351" t="s">
        <v>374</v>
      </c>
      <c r="C351">
        <v>4</v>
      </c>
      <c r="D351" t="s">
        <v>14</v>
      </c>
      <c r="E351">
        <v>110.306</v>
      </c>
      <c r="F351">
        <v>35714.249000000003</v>
      </c>
      <c r="G351">
        <v>18</v>
      </c>
      <c r="H351">
        <v>153444.709</v>
      </c>
      <c r="I351">
        <v>430</v>
      </c>
    </row>
    <row r="352" spans="1:9" x14ac:dyDescent="0.35">
      <c r="A352">
        <v>3531308</v>
      </c>
      <c r="B352" t="s">
        <v>375</v>
      </c>
      <c r="C352">
        <v>11</v>
      </c>
      <c r="D352" t="s">
        <v>27</v>
      </c>
      <c r="E352">
        <v>346.95</v>
      </c>
      <c r="F352">
        <v>44680.667000000001</v>
      </c>
      <c r="G352">
        <v>28</v>
      </c>
      <c r="H352">
        <v>350884.14899999998</v>
      </c>
      <c r="I352">
        <v>648</v>
      </c>
    </row>
    <row r="353" spans="1:9" x14ac:dyDescent="0.35">
      <c r="A353">
        <v>3531407</v>
      </c>
      <c r="B353" t="s">
        <v>376</v>
      </c>
      <c r="C353">
        <v>14</v>
      </c>
      <c r="D353" t="s">
        <v>12</v>
      </c>
      <c r="E353">
        <v>495.55900000000003</v>
      </c>
      <c r="F353">
        <v>41037.913</v>
      </c>
      <c r="G353">
        <v>8</v>
      </c>
      <c r="H353">
        <v>354638.18599999999</v>
      </c>
      <c r="I353">
        <v>552</v>
      </c>
    </row>
    <row r="354" spans="1:9" x14ac:dyDescent="0.35">
      <c r="A354">
        <v>3531506</v>
      </c>
      <c r="B354" t="s">
        <v>377</v>
      </c>
      <c r="C354">
        <v>2</v>
      </c>
      <c r="D354" t="s">
        <v>25</v>
      </c>
      <c r="E354">
        <v>263.46199999999999</v>
      </c>
      <c r="F354">
        <v>32187.377</v>
      </c>
      <c r="G354">
        <v>11</v>
      </c>
      <c r="H354">
        <v>212333.30900000001</v>
      </c>
      <c r="I354">
        <v>377</v>
      </c>
    </row>
    <row r="355" spans="1:9" x14ac:dyDescent="0.35">
      <c r="A355">
        <v>3531605</v>
      </c>
      <c r="B355" t="s">
        <v>378</v>
      </c>
      <c r="C355">
        <v>9</v>
      </c>
      <c r="D355" t="s">
        <v>10</v>
      </c>
      <c r="E355">
        <v>233.547</v>
      </c>
      <c r="F355">
        <v>24661.153999999999</v>
      </c>
      <c r="G355">
        <v>7</v>
      </c>
      <c r="H355">
        <v>127273.88800000001</v>
      </c>
      <c r="I355">
        <v>106</v>
      </c>
    </row>
    <row r="356" spans="1:9" x14ac:dyDescent="0.35">
      <c r="A356">
        <v>3531704</v>
      </c>
      <c r="B356" t="s">
        <v>379</v>
      </c>
      <c r="C356">
        <v>15</v>
      </c>
      <c r="D356" t="s">
        <v>48</v>
      </c>
      <c r="E356">
        <v>332.74200000000002</v>
      </c>
      <c r="F356">
        <v>50924.538</v>
      </c>
      <c r="G356">
        <v>9</v>
      </c>
      <c r="H356">
        <v>216629.94399999999</v>
      </c>
      <c r="I356">
        <v>268</v>
      </c>
    </row>
    <row r="357" spans="1:9" x14ac:dyDescent="0.35">
      <c r="A357">
        <v>3531803</v>
      </c>
      <c r="B357" t="s">
        <v>380</v>
      </c>
      <c r="C357">
        <v>4</v>
      </c>
      <c r="D357" t="s">
        <v>14</v>
      </c>
      <c r="E357">
        <v>240.566</v>
      </c>
      <c r="F357">
        <v>64600.724000000002</v>
      </c>
      <c r="G357">
        <v>21</v>
      </c>
      <c r="H357">
        <v>185256.60500000001</v>
      </c>
      <c r="I357">
        <v>624</v>
      </c>
    </row>
    <row r="358" spans="1:9" x14ac:dyDescent="0.35">
      <c r="A358">
        <v>3531902</v>
      </c>
      <c r="B358" t="s">
        <v>381</v>
      </c>
      <c r="C358">
        <v>6</v>
      </c>
      <c r="D358" t="s">
        <v>55</v>
      </c>
      <c r="E358">
        <v>1388.127</v>
      </c>
      <c r="F358">
        <v>165045.05600000001</v>
      </c>
      <c r="G358">
        <v>27</v>
      </c>
      <c r="H358">
        <v>474621.92099999997</v>
      </c>
      <c r="I358">
        <v>651</v>
      </c>
    </row>
    <row r="359" spans="1:9" x14ac:dyDescent="0.35">
      <c r="A359">
        <v>3532009</v>
      </c>
      <c r="B359" t="s">
        <v>382</v>
      </c>
      <c r="C359">
        <v>4</v>
      </c>
      <c r="D359" t="s">
        <v>14</v>
      </c>
      <c r="E359">
        <v>146.75200000000001</v>
      </c>
      <c r="F359">
        <v>24852.987000000001</v>
      </c>
      <c r="G359">
        <v>6</v>
      </c>
      <c r="H359">
        <v>157393.16800000001</v>
      </c>
      <c r="I359">
        <v>316</v>
      </c>
    </row>
    <row r="360" spans="1:9" x14ac:dyDescent="0.35">
      <c r="A360">
        <v>3532058</v>
      </c>
      <c r="B360" t="s">
        <v>383</v>
      </c>
      <c r="C360">
        <v>5</v>
      </c>
      <c r="D360" t="s">
        <v>38</v>
      </c>
      <c r="E360">
        <v>228.7</v>
      </c>
      <c r="F360">
        <v>43993.008999999998</v>
      </c>
      <c r="G360">
        <v>12</v>
      </c>
      <c r="H360">
        <v>181999.25599999999</v>
      </c>
      <c r="I360">
        <v>328</v>
      </c>
    </row>
    <row r="361" spans="1:9" x14ac:dyDescent="0.35">
      <c r="A361">
        <v>3532108</v>
      </c>
      <c r="B361" t="s">
        <v>384</v>
      </c>
      <c r="C361">
        <v>1</v>
      </c>
      <c r="D361" t="s">
        <v>29</v>
      </c>
      <c r="E361">
        <v>250.87299999999999</v>
      </c>
      <c r="F361">
        <v>9369.7019999999993</v>
      </c>
      <c r="G361">
        <v>7</v>
      </c>
      <c r="H361">
        <v>165929.51300000001</v>
      </c>
      <c r="I361">
        <v>181</v>
      </c>
    </row>
    <row r="362" spans="1:9" x14ac:dyDescent="0.35">
      <c r="A362">
        <v>3532157</v>
      </c>
      <c r="B362" t="s">
        <v>385</v>
      </c>
      <c r="C362">
        <v>9</v>
      </c>
      <c r="D362" t="s">
        <v>10</v>
      </c>
      <c r="E362">
        <v>286.64699999999999</v>
      </c>
      <c r="F362">
        <v>4911.2430000000004</v>
      </c>
      <c r="G362">
        <v>1</v>
      </c>
      <c r="H362">
        <v>115279.20299999999</v>
      </c>
      <c r="I362">
        <v>120</v>
      </c>
    </row>
    <row r="363" spans="1:9" x14ac:dyDescent="0.35">
      <c r="A363">
        <v>3532207</v>
      </c>
      <c r="B363" t="s">
        <v>386</v>
      </c>
      <c r="C363">
        <v>9</v>
      </c>
      <c r="D363" t="s">
        <v>10</v>
      </c>
      <c r="E363">
        <v>357.32600000000002</v>
      </c>
      <c r="F363">
        <v>48603.235999999997</v>
      </c>
      <c r="G363">
        <v>12</v>
      </c>
      <c r="H363">
        <v>165086.92800000001</v>
      </c>
      <c r="I363">
        <v>275</v>
      </c>
    </row>
    <row r="364" spans="1:9" x14ac:dyDescent="0.35">
      <c r="A364">
        <v>3532306</v>
      </c>
      <c r="B364" t="s">
        <v>387</v>
      </c>
      <c r="C364">
        <v>15</v>
      </c>
      <c r="D364" t="s">
        <v>48</v>
      </c>
      <c r="E364">
        <v>833.37199999999996</v>
      </c>
      <c r="F364">
        <v>89897.63</v>
      </c>
      <c r="G364">
        <v>11</v>
      </c>
      <c r="H364">
        <v>543464.26500000001</v>
      </c>
      <c r="I364">
        <v>361</v>
      </c>
    </row>
    <row r="365" spans="1:9" x14ac:dyDescent="0.35">
      <c r="A365">
        <v>3532405</v>
      </c>
      <c r="B365" t="s">
        <v>388</v>
      </c>
      <c r="C365">
        <v>4</v>
      </c>
      <c r="D365" t="s">
        <v>14</v>
      </c>
      <c r="E365">
        <v>326.25400000000002</v>
      </c>
      <c r="F365">
        <v>52690.125999999997</v>
      </c>
      <c r="G365">
        <v>19</v>
      </c>
      <c r="H365">
        <v>438440.288</v>
      </c>
      <c r="I365">
        <v>818</v>
      </c>
    </row>
    <row r="366" spans="1:9" x14ac:dyDescent="0.35">
      <c r="A366">
        <v>3532504</v>
      </c>
      <c r="B366" t="s">
        <v>389</v>
      </c>
      <c r="C366">
        <v>14</v>
      </c>
      <c r="D366" t="s">
        <v>12</v>
      </c>
      <c r="E366">
        <v>219.05</v>
      </c>
      <c r="F366">
        <v>21886.848999999998</v>
      </c>
      <c r="G366">
        <v>2</v>
      </c>
      <c r="H366">
        <v>123564.20299999999</v>
      </c>
      <c r="I366">
        <v>227</v>
      </c>
    </row>
    <row r="367" spans="1:9" x14ac:dyDescent="0.35">
      <c r="A367">
        <v>3532603</v>
      </c>
      <c r="B367" t="s">
        <v>390</v>
      </c>
      <c r="C367">
        <v>14</v>
      </c>
      <c r="D367" t="s">
        <v>12</v>
      </c>
      <c r="E367">
        <v>436.15899999999999</v>
      </c>
      <c r="F367">
        <v>22614.699000000001</v>
      </c>
      <c r="G367">
        <v>5</v>
      </c>
      <c r="H367">
        <v>267699.39500000002</v>
      </c>
      <c r="I367">
        <v>349</v>
      </c>
    </row>
    <row r="368" spans="1:9" x14ac:dyDescent="0.35">
      <c r="A368">
        <v>3532702</v>
      </c>
      <c r="B368" t="s">
        <v>391</v>
      </c>
      <c r="C368">
        <v>14</v>
      </c>
      <c r="D368" t="s">
        <v>12</v>
      </c>
      <c r="E368">
        <v>137.60900000000001</v>
      </c>
      <c r="F368">
        <v>14328.326999999999</v>
      </c>
      <c r="G368">
        <v>6</v>
      </c>
      <c r="H368">
        <v>120332.07799999999</v>
      </c>
      <c r="I368">
        <v>146</v>
      </c>
    </row>
    <row r="369" spans="1:9" x14ac:dyDescent="0.35">
      <c r="A369">
        <v>3532801</v>
      </c>
      <c r="B369" t="s">
        <v>392</v>
      </c>
      <c r="C369">
        <v>14</v>
      </c>
      <c r="D369" t="s">
        <v>12</v>
      </c>
      <c r="E369">
        <v>217.51499999999999</v>
      </c>
      <c r="F369">
        <v>19806.758999999998</v>
      </c>
      <c r="G369">
        <v>6</v>
      </c>
      <c r="H369">
        <v>147979.52900000001</v>
      </c>
      <c r="I369">
        <v>243</v>
      </c>
    </row>
    <row r="370" spans="1:9" x14ac:dyDescent="0.35">
      <c r="A370">
        <v>3532827</v>
      </c>
      <c r="B370" t="s">
        <v>393</v>
      </c>
      <c r="C370">
        <v>7</v>
      </c>
      <c r="D370" t="s">
        <v>44</v>
      </c>
      <c r="E370">
        <v>385.375</v>
      </c>
      <c r="F370">
        <v>44520.133000000002</v>
      </c>
      <c r="G370">
        <v>15</v>
      </c>
      <c r="H370">
        <v>242752.07800000001</v>
      </c>
      <c r="I370">
        <v>355</v>
      </c>
    </row>
    <row r="371" spans="1:9" x14ac:dyDescent="0.35">
      <c r="A371">
        <v>3532843</v>
      </c>
      <c r="B371" t="s">
        <v>394</v>
      </c>
      <c r="C371">
        <v>14</v>
      </c>
      <c r="D371" t="s">
        <v>12</v>
      </c>
      <c r="E371">
        <v>124.473</v>
      </c>
      <c r="F371">
        <v>22303.674999999999</v>
      </c>
      <c r="G371">
        <v>5</v>
      </c>
      <c r="H371">
        <v>112082.344</v>
      </c>
      <c r="I371">
        <v>99</v>
      </c>
    </row>
    <row r="372" spans="1:9" x14ac:dyDescent="0.35">
      <c r="A372">
        <v>3532868</v>
      </c>
      <c r="B372" t="s">
        <v>395</v>
      </c>
      <c r="C372">
        <v>1</v>
      </c>
      <c r="D372" t="s">
        <v>29</v>
      </c>
      <c r="E372">
        <v>183.39599999999999</v>
      </c>
      <c r="F372">
        <v>32663.654999999999</v>
      </c>
      <c r="G372">
        <v>6</v>
      </c>
      <c r="H372">
        <v>119832.493</v>
      </c>
      <c r="I372">
        <v>139</v>
      </c>
    </row>
    <row r="373" spans="1:9" x14ac:dyDescent="0.35">
      <c r="A373">
        <v>3532900</v>
      </c>
      <c r="B373" t="s">
        <v>396</v>
      </c>
      <c r="C373">
        <v>5</v>
      </c>
      <c r="D373" t="s">
        <v>38</v>
      </c>
      <c r="E373">
        <v>160.25</v>
      </c>
      <c r="F373">
        <v>16081.439</v>
      </c>
      <c r="G373">
        <v>9</v>
      </c>
      <c r="H373">
        <v>90918.118000000002</v>
      </c>
      <c r="I373">
        <v>245</v>
      </c>
    </row>
    <row r="374" spans="1:9" x14ac:dyDescent="0.35">
      <c r="A374">
        <v>3533007</v>
      </c>
      <c r="B374" t="s">
        <v>397</v>
      </c>
      <c r="C374">
        <v>14</v>
      </c>
      <c r="D374" t="s">
        <v>12</v>
      </c>
      <c r="E374">
        <v>531.79600000000005</v>
      </c>
      <c r="F374">
        <v>20308.96</v>
      </c>
      <c r="G374">
        <v>3</v>
      </c>
      <c r="H374">
        <v>323475.38199999998</v>
      </c>
      <c r="I374">
        <v>586</v>
      </c>
    </row>
    <row r="375" spans="1:9" x14ac:dyDescent="0.35">
      <c r="A375">
        <v>3533106</v>
      </c>
      <c r="B375" t="s">
        <v>398</v>
      </c>
      <c r="C375">
        <v>9</v>
      </c>
      <c r="D375" t="s">
        <v>10</v>
      </c>
      <c r="E375">
        <v>34.158000000000001</v>
      </c>
      <c r="F375">
        <v>13278.072</v>
      </c>
      <c r="G375">
        <v>6</v>
      </c>
      <c r="H375">
        <v>29977.995999999999</v>
      </c>
      <c r="I375">
        <v>46</v>
      </c>
    </row>
    <row r="376" spans="1:9" x14ac:dyDescent="0.35">
      <c r="A376">
        <v>3533205</v>
      </c>
      <c r="B376" t="s">
        <v>399</v>
      </c>
      <c r="C376">
        <v>1</v>
      </c>
      <c r="D376" t="s">
        <v>29</v>
      </c>
      <c r="E376">
        <v>265.029</v>
      </c>
      <c r="F376">
        <v>19032.689999999999</v>
      </c>
      <c r="G376">
        <v>11</v>
      </c>
      <c r="H376">
        <v>94210.967999999993</v>
      </c>
      <c r="I376">
        <v>146</v>
      </c>
    </row>
    <row r="377" spans="1:9" x14ac:dyDescent="0.35">
      <c r="A377">
        <v>3533254</v>
      </c>
      <c r="B377" t="s">
        <v>400</v>
      </c>
      <c r="C377">
        <v>14</v>
      </c>
      <c r="D377" t="s">
        <v>12</v>
      </c>
      <c r="E377">
        <v>117.77200000000001</v>
      </c>
      <c r="F377">
        <v>18019.446</v>
      </c>
      <c r="G377">
        <v>5</v>
      </c>
      <c r="H377">
        <v>90894.129000000001</v>
      </c>
      <c r="I377">
        <v>163</v>
      </c>
    </row>
    <row r="378" spans="1:9" x14ac:dyDescent="0.35">
      <c r="A378">
        <v>3533304</v>
      </c>
      <c r="B378" t="s">
        <v>401</v>
      </c>
      <c r="C378">
        <v>1</v>
      </c>
      <c r="D378" t="s">
        <v>29</v>
      </c>
      <c r="E378">
        <v>73.816000000000003</v>
      </c>
      <c r="F378">
        <v>24173.699000000001</v>
      </c>
      <c r="G378">
        <v>7</v>
      </c>
      <c r="H378">
        <v>59326.993000000002</v>
      </c>
      <c r="I378">
        <v>105</v>
      </c>
    </row>
    <row r="379" spans="1:9" x14ac:dyDescent="0.35">
      <c r="A379">
        <v>3533403</v>
      </c>
      <c r="B379" t="s">
        <v>402</v>
      </c>
      <c r="C379">
        <v>4</v>
      </c>
      <c r="D379" t="s">
        <v>14</v>
      </c>
      <c r="E379">
        <v>73.787999999999997</v>
      </c>
      <c r="F379">
        <v>15901.880999999999</v>
      </c>
      <c r="G379">
        <v>13</v>
      </c>
      <c r="H379">
        <v>105780.516</v>
      </c>
      <c r="I379">
        <v>638</v>
      </c>
    </row>
    <row r="380" spans="1:9" x14ac:dyDescent="0.35">
      <c r="A380">
        <v>3533502</v>
      </c>
      <c r="B380" t="s">
        <v>403</v>
      </c>
      <c r="C380">
        <v>14</v>
      </c>
      <c r="D380" t="s">
        <v>12</v>
      </c>
      <c r="E380">
        <v>931.74300000000005</v>
      </c>
      <c r="F380">
        <v>61270.313000000002</v>
      </c>
      <c r="G380">
        <v>10</v>
      </c>
      <c r="H380">
        <v>490720.48599999998</v>
      </c>
      <c r="I380">
        <v>827</v>
      </c>
    </row>
    <row r="381" spans="1:9" x14ac:dyDescent="0.35">
      <c r="A381">
        <v>3533601</v>
      </c>
      <c r="B381" t="s">
        <v>404</v>
      </c>
      <c r="C381">
        <v>6</v>
      </c>
      <c r="D381" t="s">
        <v>55</v>
      </c>
      <c r="E381">
        <v>348.26499999999999</v>
      </c>
      <c r="F381">
        <v>49226.85</v>
      </c>
      <c r="G381">
        <v>11</v>
      </c>
      <c r="H381">
        <v>223724.158</v>
      </c>
      <c r="I381">
        <v>277</v>
      </c>
    </row>
    <row r="382" spans="1:9" x14ac:dyDescent="0.35">
      <c r="A382">
        <v>3533700</v>
      </c>
      <c r="B382" t="s">
        <v>405</v>
      </c>
      <c r="C382">
        <v>8</v>
      </c>
      <c r="D382" t="s">
        <v>34</v>
      </c>
      <c r="E382">
        <v>301.036</v>
      </c>
      <c r="F382">
        <v>15910.958000000001</v>
      </c>
      <c r="G382">
        <v>5</v>
      </c>
      <c r="H382">
        <v>197316.15</v>
      </c>
      <c r="I382">
        <v>354</v>
      </c>
    </row>
    <row r="383" spans="1:9" x14ac:dyDescent="0.35">
      <c r="A383">
        <v>3533809</v>
      </c>
      <c r="B383" t="s">
        <v>406</v>
      </c>
      <c r="C383">
        <v>8</v>
      </c>
      <c r="D383" t="s">
        <v>34</v>
      </c>
      <c r="E383">
        <v>198.93799999999999</v>
      </c>
      <c r="F383">
        <v>28617.21</v>
      </c>
      <c r="G383">
        <v>7</v>
      </c>
      <c r="H383">
        <v>136070.45300000001</v>
      </c>
      <c r="I383">
        <v>225</v>
      </c>
    </row>
    <row r="384" spans="1:9" x14ac:dyDescent="0.35">
      <c r="A384">
        <v>3533908</v>
      </c>
      <c r="B384" t="s">
        <v>407</v>
      </c>
      <c r="C384">
        <v>2</v>
      </c>
      <c r="D384" t="s">
        <v>25</v>
      </c>
      <c r="E384">
        <v>802.55499999999995</v>
      </c>
      <c r="F384">
        <v>95479.361999999994</v>
      </c>
      <c r="G384">
        <v>19</v>
      </c>
      <c r="H384">
        <v>508134.136</v>
      </c>
      <c r="I384">
        <v>850</v>
      </c>
    </row>
    <row r="385" spans="1:9" x14ac:dyDescent="0.35">
      <c r="A385">
        <v>3534005</v>
      </c>
      <c r="B385" t="s">
        <v>408</v>
      </c>
      <c r="C385">
        <v>14</v>
      </c>
      <c r="D385" t="s">
        <v>12</v>
      </c>
      <c r="E385">
        <v>242.946</v>
      </c>
      <c r="F385">
        <v>35654.834999999999</v>
      </c>
      <c r="G385">
        <v>7</v>
      </c>
      <c r="H385">
        <v>140067.96900000001</v>
      </c>
      <c r="I385">
        <v>277</v>
      </c>
    </row>
    <row r="386" spans="1:9" x14ac:dyDescent="0.35">
      <c r="A386">
        <v>3534104</v>
      </c>
      <c r="B386" t="s">
        <v>409</v>
      </c>
      <c r="C386">
        <v>8</v>
      </c>
      <c r="D386" t="s">
        <v>34</v>
      </c>
      <c r="E386">
        <v>218.66800000000001</v>
      </c>
      <c r="F386">
        <v>29873.78</v>
      </c>
      <c r="G386">
        <v>7</v>
      </c>
      <c r="H386">
        <v>113622.175</v>
      </c>
      <c r="I386">
        <v>205</v>
      </c>
    </row>
    <row r="387" spans="1:9" x14ac:dyDescent="0.35">
      <c r="A387">
        <v>3534203</v>
      </c>
      <c r="B387" t="s">
        <v>410</v>
      </c>
      <c r="C387">
        <v>14</v>
      </c>
      <c r="D387" t="s">
        <v>12</v>
      </c>
      <c r="E387">
        <v>247.37799999999999</v>
      </c>
      <c r="F387">
        <v>15785.65</v>
      </c>
      <c r="G387">
        <v>3</v>
      </c>
      <c r="H387">
        <v>140442.76800000001</v>
      </c>
      <c r="I387">
        <v>319</v>
      </c>
    </row>
    <row r="388" spans="1:9" x14ac:dyDescent="0.35">
      <c r="A388">
        <v>3534302</v>
      </c>
      <c r="B388" t="s">
        <v>411</v>
      </c>
      <c r="C388">
        <v>6</v>
      </c>
      <c r="D388" t="s">
        <v>55</v>
      </c>
      <c r="E388">
        <v>291.76499999999999</v>
      </c>
      <c r="F388">
        <v>22732.287</v>
      </c>
      <c r="G388">
        <v>4</v>
      </c>
      <c r="H388">
        <v>135517.36499999999</v>
      </c>
      <c r="I388">
        <v>399</v>
      </c>
    </row>
    <row r="389" spans="1:9" x14ac:dyDescent="0.35">
      <c r="A389">
        <v>3534401</v>
      </c>
      <c r="B389" t="s">
        <v>412</v>
      </c>
      <c r="C389">
        <v>10</v>
      </c>
      <c r="D389" t="s">
        <v>67</v>
      </c>
      <c r="E389">
        <v>64.953999999999994</v>
      </c>
      <c r="F389">
        <v>10109</v>
      </c>
      <c r="G389">
        <v>13</v>
      </c>
      <c r="H389">
        <v>6074.58</v>
      </c>
      <c r="I389">
        <v>48</v>
      </c>
    </row>
    <row r="390" spans="1:9" x14ac:dyDescent="0.35">
      <c r="A390">
        <v>3534500</v>
      </c>
      <c r="B390" t="s">
        <v>413</v>
      </c>
      <c r="C390">
        <v>8</v>
      </c>
      <c r="D390" t="s">
        <v>34</v>
      </c>
      <c r="E390">
        <v>222.13</v>
      </c>
      <c r="F390">
        <v>21736.387999999999</v>
      </c>
      <c r="G390">
        <v>5</v>
      </c>
      <c r="H390">
        <v>120509.02800000001</v>
      </c>
      <c r="I390">
        <v>142</v>
      </c>
    </row>
    <row r="391" spans="1:9" x14ac:dyDescent="0.35">
      <c r="A391">
        <v>3534609</v>
      </c>
      <c r="B391" t="s">
        <v>414</v>
      </c>
      <c r="C391">
        <v>9</v>
      </c>
      <c r="D391" t="s">
        <v>10</v>
      </c>
      <c r="E391">
        <v>248.03800000000001</v>
      </c>
      <c r="F391">
        <v>19411.918000000001</v>
      </c>
      <c r="G391">
        <v>9</v>
      </c>
      <c r="H391">
        <v>165794.77100000001</v>
      </c>
      <c r="I391">
        <v>343</v>
      </c>
    </row>
    <row r="392" spans="1:9" x14ac:dyDescent="0.35">
      <c r="A392">
        <v>3534708</v>
      </c>
      <c r="B392" t="s">
        <v>415</v>
      </c>
      <c r="C392">
        <v>8</v>
      </c>
      <c r="D392" t="s">
        <v>34</v>
      </c>
      <c r="E392">
        <v>295.81799999999998</v>
      </c>
      <c r="F392">
        <v>36256.561000000002</v>
      </c>
      <c r="G392">
        <v>15</v>
      </c>
      <c r="H392">
        <v>176809.08300000001</v>
      </c>
      <c r="I392">
        <v>524</v>
      </c>
    </row>
    <row r="393" spans="1:9" x14ac:dyDescent="0.35">
      <c r="A393">
        <v>3534757</v>
      </c>
      <c r="B393" t="s">
        <v>416</v>
      </c>
      <c r="C393">
        <v>14</v>
      </c>
      <c r="D393" t="s">
        <v>12</v>
      </c>
      <c r="E393">
        <v>288.64800000000002</v>
      </c>
      <c r="F393">
        <v>24088.553</v>
      </c>
      <c r="G393">
        <v>7</v>
      </c>
      <c r="H393">
        <v>187908.02600000001</v>
      </c>
      <c r="I393">
        <v>521</v>
      </c>
    </row>
    <row r="394" spans="1:9" x14ac:dyDescent="0.35">
      <c r="A394">
        <v>3534807</v>
      </c>
      <c r="B394" t="s">
        <v>417</v>
      </c>
      <c r="C394">
        <v>9</v>
      </c>
      <c r="D394" t="s">
        <v>10</v>
      </c>
      <c r="E394">
        <v>266.77800000000002</v>
      </c>
      <c r="F394">
        <v>28087.521000000001</v>
      </c>
      <c r="G394">
        <v>13</v>
      </c>
      <c r="H394">
        <v>103706.592</v>
      </c>
      <c r="I394">
        <v>90</v>
      </c>
    </row>
    <row r="395" spans="1:9" x14ac:dyDescent="0.35">
      <c r="A395">
        <v>3534906</v>
      </c>
      <c r="B395" t="s">
        <v>418</v>
      </c>
      <c r="C395">
        <v>9</v>
      </c>
      <c r="D395" t="s">
        <v>10</v>
      </c>
      <c r="E395">
        <v>339.375</v>
      </c>
      <c r="F395">
        <v>48748.050999999999</v>
      </c>
      <c r="G395">
        <v>7</v>
      </c>
      <c r="H395">
        <v>181252.34599999999</v>
      </c>
      <c r="I395">
        <v>165</v>
      </c>
    </row>
    <row r="396" spans="1:9" x14ac:dyDescent="0.35">
      <c r="A396">
        <v>3535002</v>
      </c>
      <c r="B396" t="s">
        <v>419</v>
      </c>
      <c r="C396">
        <v>14</v>
      </c>
      <c r="D396" t="s">
        <v>12</v>
      </c>
      <c r="E396">
        <v>697.70100000000002</v>
      </c>
      <c r="F396">
        <v>81921.323999999993</v>
      </c>
      <c r="G396">
        <v>22</v>
      </c>
      <c r="H396">
        <v>410960.527</v>
      </c>
      <c r="I396">
        <v>696</v>
      </c>
    </row>
    <row r="397" spans="1:9" x14ac:dyDescent="0.35">
      <c r="A397">
        <v>3535101</v>
      </c>
      <c r="B397" t="s">
        <v>420</v>
      </c>
      <c r="C397">
        <v>14</v>
      </c>
      <c r="D397" t="s">
        <v>12</v>
      </c>
      <c r="E397">
        <v>82.125</v>
      </c>
      <c r="F397">
        <v>16479.166000000001</v>
      </c>
      <c r="G397">
        <v>7</v>
      </c>
      <c r="H397">
        <v>73897.964000000007</v>
      </c>
      <c r="I397">
        <v>184</v>
      </c>
    </row>
    <row r="398" spans="1:9" x14ac:dyDescent="0.35">
      <c r="A398">
        <v>3535200</v>
      </c>
      <c r="B398" t="s">
        <v>421</v>
      </c>
      <c r="C398">
        <v>14</v>
      </c>
      <c r="D398" t="s">
        <v>12</v>
      </c>
      <c r="E398">
        <v>318.74</v>
      </c>
      <c r="F398">
        <v>44780.457000000002</v>
      </c>
      <c r="G398">
        <v>16</v>
      </c>
      <c r="H398">
        <v>291071.261</v>
      </c>
      <c r="I398">
        <v>326</v>
      </c>
    </row>
    <row r="399" spans="1:9" x14ac:dyDescent="0.35">
      <c r="A399">
        <v>3535309</v>
      </c>
      <c r="B399" t="s">
        <v>422</v>
      </c>
      <c r="C399">
        <v>8</v>
      </c>
      <c r="D399" t="s">
        <v>34</v>
      </c>
      <c r="E399">
        <v>548.40700000000004</v>
      </c>
      <c r="F399">
        <v>44186.720000000001</v>
      </c>
      <c r="G399">
        <v>15</v>
      </c>
      <c r="H399">
        <v>397032.489</v>
      </c>
      <c r="I399">
        <v>705</v>
      </c>
    </row>
    <row r="400" spans="1:9" x14ac:dyDescent="0.35">
      <c r="A400">
        <v>3535408</v>
      </c>
      <c r="B400" t="s">
        <v>423</v>
      </c>
      <c r="C400">
        <v>9</v>
      </c>
      <c r="D400" t="s">
        <v>10</v>
      </c>
      <c r="E400">
        <v>356.05</v>
      </c>
      <c r="F400">
        <v>62291.131000000001</v>
      </c>
      <c r="G400">
        <v>11</v>
      </c>
      <c r="H400">
        <v>184251.50599999999</v>
      </c>
      <c r="I400">
        <v>523</v>
      </c>
    </row>
    <row r="401" spans="1:9" x14ac:dyDescent="0.35">
      <c r="A401">
        <v>3535507</v>
      </c>
      <c r="B401" t="s">
        <v>424</v>
      </c>
      <c r="C401">
        <v>8</v>
      </c>
      <c r="D401" t="s">
        <v>34</v>
      </c>
      <c r="E401">
        <v>1001.492</v>
      </c>
      <c r="F401">
        <v>82599.838000000003</v>
      </c>
      <c r="G401">
        <v>20</v>
      </c>
      <c r="H401">
        <v>529202.50399999996</v>
      </c>
      <c r="I401">
        <v>875</v>
      </c>
    </row>
    <row r="402" spans="1:9" x14ac:dyDescent="0.35">
      <c r="A402">
        <v>3535606</v>
      </c>
      <c r="B402" t="s">
        <v>425</v>
      </c>
      <c r="C402">
        <v>15</v>
      </c>
      <c r="D402" t="s">
        <v>48</v>
      </c>
      <c r="E402">
        <v>809.57600000000002</v>
      </c>
      <c r="F402">
        <v>61278.811000000002</v>
      </c>
      <c r="G402">
        <v>16</v>
      </c>
      <c r="H402">
        <v>507750.56099999999</v>
      </c>
      <c r="I402">
        <v>585</v>
      </c>
    </row>
    <row r="403" spans="1:9" x14ac:dyDescent="0.35">
      <c r="A403">
        <v>3535705</v>
      </c>
      <c r="B403" t="s">
        <v>426</v>
      </c>
      <c r="C403">
        <v>14</v>
      </c>
      <c r="D403" t="s">
        <v>12</v>
      </c>
      <c r="E403">
        <v>155.18600000000001</v>
      </c>
      <c r="F403">
        <v>24611.627</v>
      </c>
      <c r="G403">
        <v>7</v>
      </c>
      <c r="H403">
        <v>146353.72899999999</v>
      </c>
      <c r="I403">
        <v>276</v>
      </c>
    </row>
    <row r="404" spans="1:9" x14ac:dyDescent="0.35">
      <c r="A404">
        <v>3535804</v>
      </c>
      <c r="B404" t="s">
        <v>427</v>
      </c>
      <c r="C404">
        <v>7</v>
      </c>
      <c r="D404" t="s">
        <v>44</v>
      </c>
      <c r="E404">
        <v>1018.724</v>
      </c>
      <c r="F404">
        <v>77612.070000000007</v>
      </c>
      <c r="G404">
        <v>16</v>
      </c>
      <c r="H404">
        <v>566167.26</v>
      </c>
      <c r="I404">
        <v>1010</v>
      </c>
    </row>
    <row r="405" spans="1:9" x14ac:dyDescent="0.35">
      <c r="A405">
        <v>3535903</v>
      </c>
      <c r="B405" t="s">
        <v>428</v>
      </c>
      <c r="C405">
        <v>14</v>
      </c>
      <c r="D405" t="s">
        <v>12</v>
      </c>
      <c r="E405">
        <v>140.35400000000001</v>
      </c>
      <c r="F405">
        <v>24672.945</v>
      </c>
      <c r="G405">
        <v>5</v>
      </c>
      <c r="H405">
        <v>84518.27</v>
      </c>
      <c r="I405">
        <v>151</v>
      </c>
    </row>
    <row r="406" spans="1:9" x14ac:dyDescent="0.35">
      <c r="A406">
        <v>3536000</v>
      </c>
      <c r="B406" t="s">
        <v>429</v>
      </c>
      <c r="C406">
        <v>8</v>
      </c>
      <c r="D406" t="s">
        <v>34</v>
      </c>
      <c r="E406">
        <v>366.66300000000001</v>
      </c>
      <c r="F406">
        <v>74027.289000000004</v>
      </c>
      <c r="G406">
        <v>34</v>
      </c>
      <c r="H406">
        <v>230605.6</v>
      </c>
      <c r="I406">
        <v>283</v>
      </c>
    </row>
    <row r="407" spans="1:9" x14ac:dyDescent="0.35">
      <c r="A407">
        <v>3536109</v>
      </c>
      <c r="B407" t="s">
        <v>430</v>
      </c>
      <c r="C407">
        <v>13</v>
      </c>
      <c r="D407" t="s">
        <v>18</v>
      </c>
      <c r="E407">
        <v>209.89400000000001</v>
      </c>
      <c r="F407">
        <v>27888.541000000001</v>
      </c>
      <c r="G407">
        <v>11</v>
      </c>
      <c r="H407">
        <v>195534.883</v>
      </c>
      <c r="I407">
        <v>316</v>
      </c>
    </row>
    <row r="408" spans="1:9" x14ac:dyDescent="0.35">
      <c r="A408">
        <v>3536208</v>
      </c>
      <c r="B408" t="s">
        <v>431</v>
      </c>
      <c r="C408">
        <v>16</v>
      </c>
      <c r="D408" t="s">
        <v>85</v>
      </c>
      <c r="E408">
        <v>359.41399999999999</v>
      </c>
      <c r="F408">
        <v>30224.445</v>
      </c>
      <c r="G408">
        <v>3</v>
      </c>
      <c r="H408">
        <v>272922.337</v>
      </c>
      <c r="I408">
        <v>525</v>
      </c>
    </row>
    <row r="409" spans="1:9" x14ac:dyDescent="0.35">
      <c r="A409">
        <v>3536257</v>
      </c>
      <c r="B409" t="s">
        <v>432</v>
      </c>
      <c r="C409">
        <v>14</v>
      </c>
      <c r="D409" t="s">
        <v>12</v>
      </c>
      <c r="E409">
        <v>84.736999999999995</v>
      </c>
      <c r="F409">
        <v>18816.219000000001</v>
      </c>
      <c r="G409">
        <v>9</v>
      </c>
      <c r="H409">
        <v>75921.728000000003</v>
      </c>
      <c r="I409">
        <v>103</v>
      </c>
    </row>
    <row r="410" spans="1:9" x14ac:dyDescent="0.35">
      <c r="A410">
        <v>3536307</v>
      </c>
      <c r="B410" t="s">
        <v>433</v>
      </c>
      <c r="C410">
        <v>6</v>
      </c>
      <c r="D410" t="s">
        <v>55</v>
      </c>
      <c r="E410">
        <v>602.84799999999996</v>
      </c>
      <c r="F410">
        <v>126561.485</v>
      </c>
      <c r="G410">
        <v>24</v>
      </c>
      <c r="H410">
        <v>427357.63</v>
      </c>
      <c r="I410">
        <v>601</v>
      </c>
    </row>
    <row r="411" spans="1:9" x14ac:dyDescent="0.35">
      <c r="A411">
        <v>3536406</v>
      </c>
      <c r="B411" t="s">
        <v>434</v>
      </c>
      <c r="C411">
        <v>9</v>
      </c>
      <c r="D411" t="s">
        <v>10</v>
      </c>
      <c r="E411">
        <v>374.09100000000001</v>
      </c>
      <c r="F411">
        <v>42425.862999999998</v>
      </c>
      <c r="G411">
        <v>11</v>
      </c>
      <c r="H411">
        <v>168804.361</v>
      </c>
      <c r="I411">
        <v>360</v>
      </c>
    </row>
    <row r="412" spans="1:9" x14ac:dyDescent="0.35">
      <c r="A412">
        <v>3536505</v>
      </c>
      <c r="B412" t="s">
        <v>435</v>
      </c>
      <c r="C412">
        <v>4</v>
      </c>
      <c r="D412" t="s">
        <v>14</v>
      </c>
      <c r="E412">
        <v>138.77699999999999</v>
      </c>
      <c r="F412">
        <v>34234.180999999997</v>
      </c>
      <c r="G412">
        <v>13</v>
      </c>
      <c r="H412">
        <v>152637.51500000001</v>
      </c>
      <c r="I412">
        <v>1202</v>
      </c>
    </row>
    <row r="413" spans="1:9" x14ac:dyDescent="0.35">
      <c r="A413">
        <v>3536570</v>
      </c>
      <c r="B413" t="s">
        <v>436</v>
      </c>
      <c r="C413">
        <v>3</v>
      </c>
      <c r="D413" t="s">
        <v>21</v>
      </c>
      <c r="E413">
        <v>256.178</v>
      </c>
      <c r="F413">
        <v>12548.933999999999</v>
      </c>
      <c r="G413">
        <v>7</v>
      </c>
      <c r="H413">
        <v>111645.567</v>
      </c>
      <c r="I413">
        <v>131</v>
      </c>
    </row>
    <row r="414" spans="1:9" x14ac:dyDescent="0.35">
      <c r="A414">
        <v>3536604</v>
      </c>
      <c r="B414" t="s">
        <v>437</v>
      </c>
      <c r="C414">
        <v>14</v>
      </c>
      <c r="D414" t="s">
        <v>12</v>
      </c>
      <c r="E414">
        <v>737.98599999999999</v>
      </c>
      <c r="F414">
        <v>6277.1940000000004</v>
      </c>
      <c r="G414">
        <v>2</v>
      </c>
      <c r="H414">
        <v>297876.88299999997</v>
      </c>
      <c r="I414">
        <v>391</v>
      </c>
    </row>
    <row r="415" spans="1:9" x14ac:dyDescent="0.35">
      <c r="A415">
        <v>3536703</v>
      </c>
      <c r="B415" t="s">
        <v>438</v>
      </c>
      <c r="C415">
        <v>3</v>
      </c>
      <c r="D415" t="s">
        <v>21</v>
      </c>
      <c r="E415">
        <v>728.73500000000001</v>
      </c>
      <c r="F415">
        <v>79477.960999999996</v>
      </c>
      <c r="G415">
        <v>24</v>
      </c>
      <c r="H415">
        <v>453652.94500000001</v>
      </c>
      <c r="I415">
        <v>1099</v>
      </c>
    </row>
    <row r="416" spans="1:9" x14ac:dyDescent="0.35">
      <c r="A416">
        <v>3536802</v>
      </c>
      <c r="B416" t="s">
        <v>439</v>
      </c>
      <c r="C416">
        <v>4</v>
      </c>
      <c r="D416" t="s">
        <v>14</v>
      </c>
      <c r="E416">
        <v>158.58699999999999</v>
      </c>
      <c r="F416">
        <v>29074.010999999999</v>
      </c>
      <c r="G416">
        <v>10</v>
      </c>
      <c r="H416">
        <v>212819.356</v>
      </c>
      <c r="I416">
        <v>317</v>
      </c>
    </row>
    <row r="417" spans="1:9" x14ac:dyDescent="0.35">
      <c r="A417">
        <v>3536901</v>
      </c>
      <c r="B417" t="s">
        <v>440</v>
      </c>
      <c r="C417">
        <v>14</v>
      </c>
      <c r="D417" t="s">
        <v>12</v>
      </c>
      <c r="E417">
        <v>260.101</v>
      </c>
      <c r="F417">
        <v>24390.422999999999</v>
      </c>
      <c r="G417">
        <v>4</v>
      </c>
      <c r="H417">
        <v>152768.853</v>
      </c>
      <c r="I417">
        <v>163</v>
      </c>
    </row>
    <row r="418" spans="1:9" x14ac:dyDescent="0.35">
      <c r="A418">
        <v>3537008</v>
      </c>
      <c r="B418" t="s">
        <v>441</v>
      </c>
      <c r="C418">
        <v>6</v>
      </c>
      <c r="D418" t="s">
        <v>55</v>
      </c>
      <c r="E418">
        <v>712.60400000000004</v>
      </c>
      <c r="F418">
        <v>110460.43700000001</v>
      </c>
      <c r="G418">
        <v>19</v>
      </c>
      <c r="H418">
        <v>598758.89800000004</v>
      </c>
      <c r="I418">
        <v>1585</v>
      </c>
    </row>
    <row r="419" spans="1:9" x14ac:dyDescent="0.35">
      <c r="A419">
        <v>3537107</v>
      </c>
      <c r="B419" t="s">
        <v>442</v>
      </c>
      <c r="C419">
        <v>4</v>
      </c>
      <c r="D419" t="s">
        <v>14</v>
      </c>
      <c r="E419">
        <v>108.81699999999999</v>
      </c>
      <c r="F419">
        <v>16177.289000000001</v>
      </c>
      <c r="G419">
        <v>9</v>
      </c>
      <c r="H419">
        <v>116678.469</v>
      </c>
      <c r="I419">
        <v>333</v>
      </c>
    </row>
    <row r="420" spans="1:9" x14ac:dyDescent="0.35">
      <c r="A420">
        <v>3537156</v>
      </c>
      <c r="B420" t="s">
        <v>443</v>
      </c>
      <c r="C420">
        <v>8</v>
      </c>
      <c r="D420" t="s">
        <v>34</v>
      </c>
      <c r="E420">
        <v>152.309</v>
      </c>
      <c r="H420">
        <v>86450.244000000006</v>
      </c>
      <c r="I420">
        <v>208</v>
      </c>
    </row>
    <row r="421" spans="1:9" x14ac:dyDescent="0.35">
      <c r="A421">
        <v>3537206</v>
      </c>
      <c r="B421" t="s">
        <v>444</v>
      </c>
      <c r="C421">
        <v>16</v>
      </c>
      <c r="D421" t="s">
        <v>85</v>
      </c>
      <c r="E421">
        <v>670.44</v>
      </c>
      <c r="F421">
        <v>49101.508000000002</v>
      </c>
      <c r="G421">
        <v>11</v>
      </c>
      <c r="H421">
        <v>174592.3</v>
      </c>
      <c r="I421">
        <v>221</v>
      </c>
    </row>
    <row r="422" spans="1:9" x14ac:dyDescent="0.35">
      <c r="A422">
        <v>3537305</v>
      </c>
      <c r="B422" t="s">
        <v>445</v>
      </c>
      <c r="C422">
        <v>1</v>
      </c>
      <c r="D422" t="s">
        <v>29</v>
      </c>
      <c r="E422">
        <v>711.31500000000005</v>
      </c>
      <c r="F422">
        <v>83573.684000000008</v>
      </c>
      <c r="G422">
        <v>28</v>
      </c>
      <c r="H422">
        <v>488713.598</v>
      </c>
      <c r="I422">
        <v>782</v>
      </c>
    </row>
    <row r="423" spans="1:9" x14ac:dyDescent="0.35">
      <c r="A423">
        <v>3537404</v>
      </c>
      <c r="B423" t="s">
        <v>446</v>
      </c>
      <c r="C423">
        <v>1</v>
      </c>
      <c r="D423" t="s">
        <v>29</v>
      </c>
      <c r="E423">
        <v>974.24699999999996</v>
      </c>
      <c r="F423">
        <v>63862.131000000001</v>
      </c>
      <c r="G423">
        <v>13</v>
      </c>
      <c r="H423">
        <v>292635.98700000002</v>
      </c>
      <c r="I423">
        <v>352</v>
      </c>
    </row>
    <row r="424" spans="1:9" x14ac:dyDescent="0.35">
      <c r="A424">
        <v>3537503</v>
      </c>
      <c r="B424" t="s">
        <v>447</v>
      </c>
      <c r="C424">
        <v>13</v>
      </c>
      <c r="D424" t="s">
        <v>18</v>
      </c>
      <c r="E424">
        <v>223.136</v>
      </c>
      <c r="F424">
        <v>19081.465</v>
      </c>
      <c r="G424">
        <v>15</v>
      </c>
      <c r="H424">
        <v>187021.402</v>
      </c>
      <c r="I424">
        <v>339</v>
      </c>
    </row>
    <row r="425" spans="1:9" x14ac:dyDescent="0.35">
      <c r="A425">
        <v>3537602</v>
      </c>
      <c r="B425" t="s">
        <v>448</v>
      </c>
      <c r="C425">
        <v>12</v>
      </c>
      <c r="D425" t="s">
        <v>96</v>
      </c>
      <c r="E425">
        <v>326.21600000000001</v>
      </c>
      <c r="F425">
        <v>45757.375</v>
      </c>
      <c r="G425">
        <v>8</v>
      </c>
      <c r="H425">
        <v>199474.85699999999</v>
      </c>
      <c r="I425">
        <v>574</v>
      </c>
    </row>
    <row r="426" spans="1:9" x14ac:dyDescent="0.35">
      <c r="A426">
        <v>3537701</v>
      </c>
      <c r="B426" t="s">
        <v>449</v>
      </c>
      <c r="C426">
        <v>1</v>
      </c>
      <c r="D426" t="s">
        <v>29</v>
      </c>
      <c r="E426">
        <v>232.488</v>
      </c>
      <c r="F426">
        <v>38150.839999999997</v>
      </c>
      <c r="G426">
        <v>8</v>
      </c>
      <c r="H426">
        <v>130548.363</v>
      </c>
      <c r="I426">
        <v>158</v>
      </c>
    </row>
    <row r="427" spans="1:9" x14ac:dyDescent="0.35">
      <c r="A427">
        <v>3537800</v>
      </c>
      <c r="B427" t="s">
        <v>450</v>
      </c>
      <c r="C427">
        <v>13</v>
      </c>
      <c r="D427" t="s">
        <v>18</v>
      </c>
      <c r="E427">
        <v>746.86800000000005</v>
      </c>
      <c r="F427">
        <v>93553.778999999995</v>
      </c>
      <c r="G427">
        <v>29</v>
      </c>
      <c r="H427">
        <v>1218999.085</v>
      </c>
      <c r="I427">
        <v>2346</v>
      </c>
    </row>
    <row r="428" spans="1:9" x14ac:dyDescent="0.35">
      <c r="A428">
        <v>3537909</v>
      </c>
      <c r="B428" t="s">
        <v>451</v>
      </c>
      <c r="C428">
        <v>13</v>
      </c>
      <c r="D428" t="s">
        <v>18</v>
      </c>
      <c r="E428">
        <v>681.24800000000005</v>
      </c>
      <c r="F428">
        <v>51412.466</v>
      </c>
      <c r="G428">
        <v>12</v>
      </c>
      <c r="H428">
        <v>410912.18400000001</v>
      </c>
      <c r="I428">
        <v>877</v>
      </c>
    </row>
    <row r="429" spans="1:9" x14ac:dyDescent="0.35">
      <c r="A429">
        <v>3538006</v>
      </c>
      <c r="B429" t="s">
        <v>452</v>
      </c>
      <c r="C429">
        <v>15</v>
      </c>
      <c r="D429" t="s">
        <v>48</v>
      </c>
      <c r="E429">
        <v>729.99800000000005</v>
      </c>
      <c r="F429">
        <v>73228.892000000007</v>
      </c>
      <c r="G429">
        <v>17</v>
      </c>
      <c r="H429">
        <v>516886.484</v>
      </c>
      <c r="I429">
        <v>1387</v>
      </c>
    </row>
    <row r="430" spans="1:9" x14ac:dyDescent="0.35">
      <c r="A430">
        <v>3538105</v>
      </c>
      <c r="B430" t="s">
        <v>453</v>
      </c>
      <c r="C430">
        <v>14</v>
      </c>
      <c r="D430" t="s">
        <v>12</v>
      </c>
      <c r="E430">
        <v>184.82499999999999</v>
      </c>
      <c r="F430">
        <v>30540.276999999998</v>
      </c>
      <c r="G430">
        <v>9</v>
      </c>
      <c r="H430">
        <v>201347.43400000001</v>
      </c>
      <c r="I430">
        <v>406</v>
      </c>
    </row>
    <row r="431" spans="1:9" x14ac:dyDescent="0.35">
      <c r="A431">
        <v>3538204</v>
      </c>
      <c r="B431" t="s">
        <v>454</v>
      </c>
      <c r="C431">
        <v>4</v>
      </c>
      <c r="D431" t="s">
        <v>14</v>
      </c>
      <c r="E431">
        <v>154.53</v>
      </c>
      <c r="F431">
        <v>20257.694</v>
      </c>
      <c r="G431">
        <v>7</v>
      </c>
      <c r="H431">
        <v>214722.80600000001</v>
      </c>
      <c r="I431">
        <v>601</v>
      </c>
    </row>
    <row r="432" spans="1:9" x14ac:dyDescent="0.35">
      <c r="A432">
        <v>3538303</v>
      </c>
      <c r="B432" t="s">
        <v>455</v>
      </c>
      <c r="C432">
        <v>9</v>
      </c>
      <c r="D432" t="s">
        <v>10</v>
      </c>
      <c r="E432">
        <v>482.76900000000001</v>
      </c>
      <c r="F432">
        <v>41582.116999999998</v>
      </c>
      <c r="G432">
        <v>6</v>
      </c>
      <c r="H432">
        <v>176684.625</v>
      </c>
      <c r="I432">
        <v>167</v>
      </c>
    </row>
    <row r="433" spans="1:9" x14ac:dyDescent="0.35">
      <c r="A433">
        <v>3538501</v>
      </c>
      <c r="B433" t="s">
        <v>456</v>
      </c>
      <c r="C433">
        <v>15</v>
      </c>
      <c r="D433" t="s">
        <v>48</v>
      </c>
      <c r="E433">
        <v>175.99600000000001</v>
      </c>
      <c r="F433">
        <v>21143.071</v>
      </c>
      <c r="G433">
        <v>3</v>
      </c>
      <c r="H433">
        <v>94498.137000000002</v>
      </c>
      <c r="I433">
        <v>173</v>
      </c>
    </row>
    <row r="434" spans="1:9" x14ac:dyDescent="0.35">
      <c r="A434">
        <v>3538600</v>
      </c>
      <c r="B434" t="s">
        <v>457</v>
      </c>
      <c r="C434">
        <v>4</v>
      </c>
      <c r="D434" t="s">
        <v>14</v>
      </c>
      <c r="E434">
        <v>385.56799999999998</v>
      </c>
      <c r="F434">
        <v>56932.254000000001</v>
      </c>
      <c r="G434">
        <v>16</v>
      </c>
      <c r="H434">
        <v>410538.27299999999</v>
      </c>
      <c r="I434">
        <v>690</v>
      </c>
    </row>
    <row r="435" spans="1:9" x14ac:dyDescent="0.35">
      <c r="A435">
        <v>3538709</v>
      </c>
      <c r="B435" t="s">
        <v>458</v>
      </c>
      <c r="C435">
        <v>4</v>
      </c>
      <c r="D435" t="s">
        <v>14</v>
      </c>
      <c r="E435">
        <v>1378.069</v>
      </c>
      <c r="F435">
        <v>113651.97</v>
      </c>
      <c r="G435">
        <v>29</v>
      </c>
      <c r="H435">
        <v>842276.22</v>
      </c>
      <c r="I435">
        <v>3203</v>
      </c>
    </row>
    <row r="436" spans="1:9" x14ac:dyDescent="0.35">
      <c r="A436">
        <v>3538808</v>
      </c>
      <c r="B436" t="s">
        <v>459</v>
      </c>
      <c r="C436">
        <v>7</v>
      </c>
      <c r="D436" t="s">
        <v>44</v>
      </c>
      <c r="E436">
        <v>504.59100000000001</v>
      </c>
      <c r="F436">
        <v>43560.535000000003</v>
      </c>
      <c r="G436">
        <v>18</v>
      </c>
      <c r="H436">
        <v>236737.59299999999</v>
      </c>
      <c r="I436">
        <v>372</v>
      </c>
    </row>
    <row r="437" spans="1:9" x14ac:dyDescent="0.35">
      <c r="A437">
        <v>3538907</v>
      </c>
      <c r="B437" t="s">
        <v>460</v>
      </c>
      <c r="C437">
        <v>3</v>
      </c>
      <c r="D437" t="s">
        <v>21</v>
      </c>
      <c r="E437">
        <v>823.75800000000004</v>
      </c>
      <c r="F437">
        <v>44014.000999999997</v>
      </c>
      <c r="G437">
        <v>8</v>
      </c>
      <c r="H437">
        <v>288983.50900000002</v>
      </c>
      <c r="I437">
        <v>533</v>
      </c>
    </row>
    <row r="438" spans="1:9" x14ac:dyDescent="0.35">
      <c r="A438">
        <v>3539004</v>
      </c>
      <c r="B438" t="s">
        <v>461</v>
      </c>
      <c r="C438">
        <v>2</v>
      </c>
      <c r="D438" t="s">
        <v>25</v>
      </c>
      <c r="E438">
        <v>215.809</v>
      </c>
      <c r="F438">
        <v>34087.099000000002</v>
      </c>
      <c r="G438">
        <v>9</v>
      </c>
      <c r="H438">
        <v>193454.90900000001</v>
      </c>
      <c r="I438">
        <v>255</v>
      </c>
    </row>
    <row r="439" spans="1:9" x14ac:dyDescent="0.35">
      <c r="A439">
        <v>3539103</v>
      </c>
      <c r="B439" t="s">
        <v>462</v>
      </c>
      <c r="C439">
        <v>10</v>
      </c>
      <c r="D439" t="s">
        <v>67</v>
      </c>
      <c r="E439">
        <v>108.489</v>
      </c>
      <c r="F439">
        <v>22542.822</v>
      </c>
      <c r="G439">
        <v>7</v>
      </c>
      <c r="H439">
        <v>124972.765</v>
      </c>
      <c r="I439">
        <v>291</v>
      </c>
    </row>
    <row r="440" spans="1:9" x14ac:dyDescent="0.35">
      <c r="A440">
        <v>3539202</v>
      </c>
      <c r="B440" t="s">
        <v>463</v>
      </c>
      <c r="C440">
        <v>9</v>
      </c>
      <c r="D440" t="s">
        <v>10</v>
      </c>
      <c r="E440">
        <v>477.67500000000001</v>
      </c>
      <c r="F440">
        <v>55281.154999999999</v>
      </c>
      <c r="G440">
        <v>20</v>
      </c>
      <c r="H440">
        <v>119427.512</v>
      </c>
      <c r="I440">
        <v>258</v>
      </c>
    </row>
    <row r="441" spans="1:9" x14ac:dyDescent="0.35">
      <c r="A441">
        <v>3539301</v>
      </c>
      <c r="B441" t="s">
        <v>464</v>
      </c>
      <c r="C441">
        <v>4</v>
      </c>
      <c r="D441" t="s">
        <v>14</v>
      </c>
      <c r="E441">
        <v>727.11800000000005</v>
      </c>
      <c r="F441">
        <v>53984.002999999997</v>
      </c>
      <c r="G441">
        <v>16</v>
      </c>
      <c r="H441">
        <v>522046.49800000002</v>
      </c>
      <c r="I441">
        <v>1918</v>
      </c>
    </row>
    <row r="442" spans="1:9" x14ac:dyDescent="0.35">
      <c r="A442">
        <v>3539400</v>
      </c>
      <c r="B442" t="s">
        <v>465</v>
      </c>
      <c r="C442">
        <v>3</v>
      </c>
      <c r="D442" t="s">
        <v>21</v>
      </c>
      <c r="E442">
        <v>402.40899999999999</v>
      </c>
      <c r="F442">
        <v>19464.246999999999</v>
      </c>
      <c r="G442">
        <v>6</v>
      </c>
      <c r="H442">
        <v>261344.75099999999</v>
      </c>
      <c r="I442">
        <v>604</v>
      </c>
    </row>
    <row r="443" spans="1:9" x14ac:dyDescent="0.35">
      <c r="A443">
        <v>3539509</v>
      </c>
      <c r="B443" t="s">
        <v>466</v>
      </c>
      <c r="C443">
        <v>11</v>
      </c>
      <c r="D443" t="s">
        <v>27</v>
      </c>
      <c r="E443">
        <v>430.63799999999998</v>
      </c>
      <c r="F443">
        <v>40655.461000000003</v>
      </c>
      <c r="G443">
        <v>15</v>
      </c>
      <c r="H443">
        <v>334394.82</v>
      </c>
      <c r="I443">
        <v>667</v>
      </c>
    </row>
    <row r="444" spans="1:9" x14ac:dyDescent="0.35">
      <c r="A444">
        <v>3539608</v>
      </c>
      <c r="B444" t="s">
        <v>467</v>
      </c>
      <c r="C444">
        <v>14</v>
      </c>
      <c r="D444" t="s">
        <v>12</v>
      </c>
      <c r="E444">
        <v>289.82499999999999</v>
      </c>
      <c r="F444">
        <v>36262.588000000003</v>
      </c>
      <c r="G444">
        <v>8</v>
      </c>
      <c r="H444">
        <v>145622.10800000001</v>
      </c>
      <c r="I444">
        <v>189</v>
      </c>
    </row>
    <row r="445" spans="1:9" x14ac:dyDescent="0.35">
      <c r="A445">
        <v>3539707</v>
      </c>
      <c r="B445" t="s">
        <v>468</v>
      </c>
      <c r="C445">
        <v>8</v>
      </c>
      <c r="D445" t="s">
        <v>34</v>
      </c>
      <c r="E445">
        <v>327.48</v>
      </c>
      <c r="F445">
        <v>31128.79</v>
      </c>
      <c r="G445">
        <v>6</v>
      </c>
      <c r="H445">
        <v>209439.81599999999</v>
      </c>
      <c r="I445">
        <v>283</v>
      </c>
    </row>
    <row r="446" spans="1:9" x14ac:dyDescent="0.35">
      <c r="A446">
        <v>3539806</v>
      </c>
      <c r="B446" t="s">
        <v>469</v>
      </c>
      <c r="C446">
        <v>10</v>
      </c>
      <c r="D446" t="s">
        <v>67</v>
      </c>
      <c r="E446">
        <v>17.263999999999999</v>
      </c>
      <c r="F446">
        <v>5346.8090000000002</v>
      </c>
      <c r="G446">
        <v>7</v>
      </c>
      <c r="H446">
        <v>8795.7870000000003</v>
      </c>
      <c r="I446">
        <v>80</v>
      </c>
    </row>
    <row r="447" spans="1:9" x14ac:dyDescent="0.35">
      <c r="A447">
        <v>3539905</v>
      </c>
      <c r="B447" t="s">
        <v>470</v>
      </c>
      <c r="C447">
        <v>14</v>
      </c>
      <c r="D447" t="s">
        <v>12</v>
      </c>
      <c r="E447">
        <v>135.12</v>
      </c>
      <c r="F447">
        <v>7896.2479999999996</v>
      </c>
      <c r="G447">
        <v>1</v>
      </c>
      <c r="H447">
        <v>98731.56</v>
      </c>
      <c r="I447">
        <v>110</v>
      </c>
    </row>
    <row r="448" spans="1:9" x14ac:dyDescent="0.35">
      <c r="A448">
        <v>3540002</v>
      </c>
      <c r="B448" t="s">
        <v>471</v>
      </c>
      <c r="C448">
        <v>8</v>
      </c>
      <c r="D448" t="s">
        <v>34</v>
      </c>
      <c r="E448">
        <v>784.67399999999998</v>
      </c>
      <c r="F448">
        <v>56214.758000000002</v>
      </c>
      <c r="G448">
        <v>9</v>
      </c>
      <c r="H448">
        <v>385081.15500000003</v>
      </c>
      <c r="I448">
        <v>635</v>
      </c>
    </row>
    <row r="449" spans="1:9" x14ac:dyDescent="0.35">
      <c r="A449">
        <v>3540101</v>
      </c>
      <c r="B449" t="s">
        <v>472</v>
      </c>
      <c r="C449">
        <v>3</v>
      </c>
      <c r="D449" t="s">
        <v>21</v>
      </c>
      <c r="E449">
        <v>183.399</v>
      </c>
      <c r="F449">
        <v>25992.062000000002</v>
      </c>
      <c r="G449">
        <v>9</v>
      </c>
      <c r="H449">
        <v>95752.588000000003</v>
      </c>
      <c r="I449">
        <v>195</v>
      </c>
    </row>
    <row r="450" spans="1:9" x14ac:dyDescent="0.35">
      <c r="A450">
        <v>3540200</v>
      </c>
      <c r="B450" t="s">
        <v>473</v>
      </c>
      <c r="C450">
        <v>11</v>
      </c>
      <c r="D450" t="s">
        <v>27</v>
      </c>
      <c r="E450">
        <v>356.37099999999998</v>
      </c>
      <c r="F450">
        <v>73865.883000000002</v>
      </c>
      <c r="G450">
        <v>24</v>
      </c>
      <c r="H450">
        <v>129157.254</v>
      </c>
      <c r="I450">
        <v>412</v>
      </c>
    </row>
    <row r="451" spans="1:9" x14ac:dyDescent="0.35">
      <c r="A451">
        <v>3540259</v>
      </c>
      <c r="B451" t="s">
        <v>474</v>
      </c>
      <c r="C451">
        <v>14</v>
      </c>
      <c r="D451" t="s">
        <v>12</v>
      </c>
      <c r="E451">
        <v>209.52500000000001</v>
      </c>
      <c r="F451">
        <v>8960.732</v>
      </c>
      <c r="G451">
        <v>4</v>
      </c>
      <c r="H451">
        <v>109856.227</v>
      </c>
      <c r="I451">
        <v>119</v>
      </c>
    </row>
    <row r="452" spans="1:9" x14ac:dyDescent="0.35">
      <c r="A452">
        <v>3540309</v>
      </c>
      <c r="B452" t="s">
        <v>475</v>
      </c>
      <c r="C452">
        <v>14</v>
      </c>
      <c r="D452" t="s">
        <v>12</v>
      </c>
      <c r="E452">
        <v>217.505</v>
      </c>
      <c r="F452">
        <v>32084.386999999999</v>
      </c>
      <c r="G452">
        <v>15</v>
      </c>
      <c r="H452">
        <v>94419.591</v>
      </c>
      <c r="I452">
        <v>225</v>
      </c>
    </row>
    <row r="453" spans="1:9" x14ac:dyDescent="0.35">
      <c r="A453">
        <v>3540408</v>
      </c>
      <c r="B453" t="s">
        <v>476</v>
      </c>
      <c r="C453">
        <v>14</v>
      </c>
      <c r="D453" t="s">
        <v>12</v>
      </c>
      <c r="E453">
        <v>315.93799999999999</v>
      </c>
      <c r="F453">
        <v>28857.811000000002</v>
      </c>
      <c r="G453">
        <v>6</v>
      </c>
      <c r="H453">
        <v>159864.35</v>
      </c>
      <c r="I453">
        <v>378</v>
      </c>
    </row>
    <row r="454" spans="1:9" x14ac:dyDescent="0.35">
      <c r="A454">
        <v>3540507</v>
      </c>
      <c r="B454" t="s">
        <v>477</v>
      </c>
      <c r="C454">
        <v>13</v>
      </c>
      <c r="D454" t="s">
        <v>18</v>
      </c>
      <c r="E454">
        <v>265.68900000000002</v>
      </c>
      <c r="F454">
        <v>19132.457999999999</v>
      </c>
      <c r="G454">
        <v>11</v>
      </c>
      <c r="H454">
        <v>265861.07799999998</v>
      </c>
      <c r="I454">
        <v>488</v>
      </c>
    </row>
    <row r="455" spans="1:9" x14ac:dyDescent="0.35">
      <c r="A455">
        <v>3540606</v>
      </c>
      <c r="B455" t="s">
        <v>478</v>
      </c>
      <c r="C455">
        <v>13</v>
      </c>
      <c r="D455" t="s">
        <v>18</v>
      </c>
      <c r="E455">
        <v>556.70600000000002</v>
      </c>
      <c r="F455">
        <v>36577.775999999998</v>
      </c>
      <c r="G455">
        <v>7</v>
      </c>
      <c r="H455">
        <v>556998.25399999996</v>
      </c>
      <c r="I455">
        <v>1388</v>
      </c>
    </row>
    <row r="456" spans="1:9" x14ac:dyDescent="0.35">
      <c r="A456">
        <v>3540705</v>
      </c>
      <c r="B456" t="s">
        <v>479</v>
      </c>
      <c r="C456">
        <v>5</v>
      </c>
      <c r="D456" t="s">
        <v>38</v>
      </c>
      <c r="E456">
        <v>244.90600000000001</v>
      </c>
      <c r="F456">
        <v>25533.523000000001</v>
      </c>
      <c r="G456">
        <v>5</v>
      </c>
      <c r="H456">
        <v>160072.34599999999</v>
      </c>
      <c r="I456">
        <v>418</v>
      </c>
    </row>
    <row r="457" spans="1:9" x14ac:dyDescent="0.35">
      <c r="A457">
        <v>3540754</v>
      </c>
      <c r="B457" t="s">
        <v>480</v>
      </c>
      <c r="C457">
        <v>15</v>
      </c>
      <c r="D457" t="s">
        <v>48</v>
      </c>
      <c r="E457">
        <v>44.468000000000004</v>
      </c>
      <c r="F457">
        <v>22443.431</v>
      </c>
      <c r="G457">
        <v>13</v>
      </c>
      <c r="H457">
        <v>40551.499000000003</v>
      </c>
      <c r="I457">
        <v>131</v>
      </c>
    </row>
    <row r="458" spans="1:9" x14ac:dyDescent="0.35">
      <c r="A458">
        <v>3540804</v>
      </c>
      <c r="B458" t="s">
        <v>481</v>
      </c>
      <c r="C458">
        <v>14</v>
      </c>
      <c r="D458" t="s">
        <v>12</v>
      </c>
      <c r="E458">
        <v>342.49200000000002</v>
      </c>
      <c r="F458">
        <v>113696.538</v>
      </c>
      <c r="G458">
        <v>21</v>
      </c>
      <c r="H458">
        <v>302794.96999999997</v>
      </c>
      <c r="I458">
        <v>484</v>
      </c>
    </row>
    <row r="459" spans="1:9" x14ac:dyDescent="0.35">
      <c r="A459">
        <v>3540853</v>
      </c>
      <c r="B459" t="s">
        <v>482</v>
      </c>
      <c r="C459">
        <v>9</v>
      </c>
      <c r="D459" t="s">
        <v>10</v>
      </c>
      <c r="E459">
        <v>63.054000000000002</v>
      </c>
      <c r="F459">
        <v>14543.040999999999</v>
      </c>
      <c r="G459">
        <v>7</v>
      </c>
      <c r="H459">
        <v>35472.885999999999</v>
      </c>
      <c r="I459">
        <v>61</v>
      </c>
    </row>
    <row r="460" spans="1:9" x14ac:dyDescent="0.35">
      <c r="A460">
        <v>3540903</v>
      </c>
      <c r="B460" t="s">
        <v>483</v>
      </c>
      <c r="C460">
        <v>11</v>
      </c>
      <c r="D460" t="s">
        <v>27</v>
      </c>
      <c r="E460">
        <v>167.37799999999999</v>
      </c>
      <c r="F460">
        <v>27147.302</v>
      </c>
      <c r="G460">
        <v>11</v>
      </c>
      <c r="H460">
        <v>103722.902</v>
      </c>
      <c r="I460">
        <v>373</v>
      </c>
    </row>
    <row r="461" spans="1:9" x14ac:dyDescent="0.35">
      <c r="A461">
        <v>3541000</v>
      </c>
      <c r="B461" t="s">
        <v>484</v>
      </c>
      <c r="C461">
        <v>12</v>
      </c>
      <c r="D461" t="s">
        <v>96</v>
      </c>
      <c r="E461">
        <v>149.25299999999999</v>
      </c>
      <c r="H461">
        <v>66696.866999999998</v>
      </c>
      <c r="I461">
        <v>422</v>
      </c>
    </row>
    <row r="462" spans="1:9" x14ac:dyDescent="0.35">
      <c r="A462">
        <v>3541059</v>
      </c>
      <c r="B462" t="s">
        <v>485</v>
      </c>
      <c r="C462">
        <v>13</v>
      </c>
      <c r="D462" t="s">
        <v>18</v>
      </c>
      <c r="E462">
        <v>175.1</v>
      </c>
      <c r="F462">
        <v>11828.788</v>
      </c>
      <c r="G462">
        <v>4</v>
      </c>
      <c r="H462">
        <v>114395.81200000001</v>
      </c>
      <c r="I462">
        <v>165</v>
      </c>
    </row>
    <row r="463" spans="1:9" x14ac:dyDescent="0.35">
      <c r="A463">
        <v>3541109</v>
      </c>
      <c r="B463" t="s">
        <v>486</v>
      </c>
      <c r="C463">
        <v>3</v>
      </c>
      <c r="D463" t="s">
        <v>21</v>
      </c>
      <c r="E463">
        <v>286.642</v>
      </c>
      <c r="F463">
        <v>22830.240000000002</v>
      </c>
      <c r="G463">
        <v>2</v>
      </c>
      <c r="H463">
        <v>119881.492</v>
      </c>
      <c r="I463">
        <v>151</v>
      </c>
    </row>
    <row r="464" spans="1:9" x14ac:dyDescent="0.35">
      <c r="A464">
        <v>3541208</v>
      </c>
      <c r="B464" t="s">
        <v>487</v>
      </c>
      <c r="C464">
        <v>9</v>
      </c>
      <c r="D464" t="s">
        <v>10</v>
      </c>
      <c r="E464">
        <v>749.23299999999995</v>
      </c>
      <c r="F464">
        <v>59223.591999999997</v>
      </c>
      <c r="G464">
        <v>14</v>
      </c>
      <c r="H464">
        <v>448152.10600000003</v>
      </c>
      <c r="I464">
        <v>607</v>
      </c>
    </row>
    <row r="465" spans="1:9" x14ac:dyDescent="0.35">
      <c r="A465">
        <v>3541307</v>
      </c>
      <c r="B465" t="s">
        <v>488</v>
      </c>
      <c r="C465">
        <v>9</v>
      </c>
      <c r="D465" t="s">
        <v>10</v>
      </c>
      <c r="E465">
        <v>1260.2809999999999</v>
      </c>
      <c r="F465">
        <v>135388.71400000001</v>
      </c>
      <c r="G465">
        <v>21</v>
      </c>
      <c r="H465">
        <v>457449.35</v>
      </c>
      <c r="I465">
        <v>593</v>
      </c>
    </row>
    <row r="466" spans="1:9" x14ac:dyDescent="0.35">
      <c r="A466">
        <v>3541406</v>
      </c>
      <c r="B466" t="s">
        <v>489</v>
      </c>
      <c r="C466">
        <v>9</v>
      </c>
      <c r="D466" t="s">
        <v>10</v>
      </c>
      <c r="E466">
        <v>560.63699999999994</v>
      </c>
      <c r="F466">
        <v>126852.102</v>
      </c>
      <c r="G466">
        <v>37</v>
      </c>
      <c r="H466">
        <v>509018.70899999997</v>
      </c>
      <c r="I466">
        <v>1905</v>
      </c>
    </row>
    <row r="467" spans="1:9" x14ac:dyDescent="0.35">
      <c r="A467">
        <v>3541505</v>
      </c>
      <c r="B467" t="s">
        <v>490</v>
      </c>
      <c r="C467">
        <v>9</v>
      </c>
      <c r="D467" t="s">
        <v>10</v>
      </c>
      <c r="E467">
        <v>755.20299999999997</v>
      </c>
      <c r="F467">
        <v>35325.798000000003</v>
      </c>
      <c r="G467">
        <v>8</v>
      </c>
      <c r="H467">
        <v>381026.86099999998</v>
      </c>
      <c r="I467">
        <v>592</v>
      </c>
    </row>
    <row r="468" spans="1:9" x14ac:dyDescent="0.35">
      <c r="A468">
        <v>3541604</v>
      </c>
      <c r="B468" t="s">
        <v>491</v>
      </c>
      <c r="C468">
        <v>3</v>
      </c>
      <c r="D468" t="s">
        <v>21</v>
      </c>
      <c r="E468">
        <v>779.2</v>
      </c>
      <c r="F468">
        <v>31952.669000000002</v>
      </c>
      <c r="G468">
        <v>8</v>
      </c>
      <c r="H468">
        <v>552830.83299999998</v>
      </c>
      <c r="I468">
        <v>805</v>
      </c>
    </row>
    <row r="469" spans="1:9" x14ac:dyDescent="0.35">
      <c r="A469">
        <v>3541653</v>
      </c>
      <c r="B469" t="s">
        <v>492</v>
      </c>
      <c r="C469">
        <v>13</v>
      </c>
      <c r="D469" t="s">
        <v>18</v>
      </c>
      <c r="E469">
        <v>205.672</v>
      </c>
      <c r="F469">
        <v>53845.347000000002</v>
      </c>
      <c r="G469">
        <v>15</v>
      </c>
      <c r="H469">
        <v>229726.359</v>
      </c>
      <c r="I469">
        <v>393</v>
      </c>
    </row>
    <row r="470" spans="1:9" x14ac:dyDescent="0.35">
      <c r="A470">
        <v>3541703</v>
      </c>
      <c r="B470" t="s">
        <v>493</v>
      </c>
      <c r="C470">
        <v>8</v>
      </c>
      <c r="D470" t="s">
        <v>34</v>
      </c>
      <c r="E470">
        <v>651.34100000000001</v>
      </c>
      <c r="F470">
        <v>77009.712</v>
      </c>
      <c r="G470">
        <v>15</v>
      </c>
      <c r="H470">
        <v>327694.28499999997</v>
      </c>
      <c r="I470">
        <v>453</v>
      </c>
    </row>
    <row r="471" spans="1:9" x14ac:dyDescent="0.35">
      <c r="A471">
        <v>3541802</v>
      </c>
      <c r="B471" t="s">
        <v>494</v>
      </c>
      <c r="C471">
        <v>8</v>
      </c>
      <c r="D471" t="s">
        <v>34</v>
      </c>
      <c r="E471">
        <v>234.91399999999999</v>
      </c>
      <c r="F471">
        <v>42171.491999999998</v>
      </c>
      <c r="G471">
        <v>12</v>
      </c>
      <c r="H471">
        <v>133757.834</v>
      </c>
      <c r="I471">
        <v>232</v>
      </c>
    </row>
    <row r="472" spans="1:9" x14ac:dyDescent="0.35">
      <c r="A472">
        <v>3541901</v>
      </c>
      <c r="B472" t="s">
        <v>495</v>
      </c>
      <c r="C472">
        <v>15</v>
      </c>
      <c r="D472" t="s">
        <v>48</v>
      </c>
      <c r="E472">
        <v>249.399</v>
      </c>
      <c r="F472">
        <v>19821.740000000002</v>
      </c>
      <c r="G472">
        <v>6</v>
      </c>
      <c r="H472">
        <v>104836.427</v>
      </c>
      <c r="I472">
        <v>155</v>
      </c>
    </row>
    <row r="473" spans="1:9" x14ac:dyDescent="0.35">
      <c r="A473">
        <v>3542008</v>
      </c>
      <c r="B473" t="s">
        <v>496</v>
      </c>
      <c r="C473">
        <v>8</v>
      </c>
      <c r="D473" t="s">
        <v>34</v>
      </c>
      <c r="E473">
        <v>318.93700000000001</v>
      </c>
      <c r="F473">
        <v>42845.377</v>
      </c>
      <c r="G473">
        <v>12</v>
      </c>
      <c r="H473">
        <v>174618.22099999999</v>
      </c>
      <c r="I473">
        <v>273</v>
      </c>
    </row>
    <row r="474" spans="1:9" x14ac:dyDescent="0.35">
      <c r="A474">
        <v>3542107</v>
      </c>
      <c r="B474" t="s">
        <v>497</v>
      </c>
      <c r="C474">
        <v>4</v>
      </c>
      <c r="D474" t="s">
        <v>14</v>
      </c>
      <c r="E474">
        <v>121.645</v>
      </c>
      <c r="F474">
        <v>6738.87</v>
      </c>
      <c r="G474">
        <v>5</v>
      </c>
      <c r="H474">
        <v>89884.097999999998</v>
      </c>
      <c r="I474">
        <v>195</v>
      </c>
    </row>
    <row r="475" spans="1:9" x14ac:dyDescent="0.35">
      <c r="A475">
        <v>3542206</v>
      </c>
      <c r="B475" t="s">
        <v>498</v>
      </c>
      <c r="C475">
        <v>9</v>
      </c>
      <c r="D475" t="s">
        <v>10</v>
      </c>
      <c r="E475">
        <v>1587.498</v>
      </c>
      <c r="F475">
        <v>53936.491000000002</v>
      </c>
      <c r="G475">
        <v>13</v>
      </c>
      <c r="H475">
        <v>504800.72700000001</v>
      </c>
      <c r="I475">
        <v>692</v>
      </c>
    </row>
    <row r="476" spans="1:9" x14ac:dyDescent="0.35">
      <c r="A476">
        <v>3542305</v>
      </c>
      <c r="B476" t="s">
        <v>499</v>
      </c>
      <c r="C476">
        <v>15</v>
      </c>
      <c r="D476" t="s">
        <v>48</v>
      </c>
      <c r="E476">
        <v>309.44099999999997</v>
      </c>
      <c r="F476">
        <v>31673.52</v>
      </c>
      <c r="G476">
        <v>6</v>
      </c>
      <c r="H476">
        <v>241805.58300000001</v>
      </c>
      <c r="I476">
        <v>201</v>
      </c>
    </row>
    <row r="477" spans="1:9" x14ac:dyDescent="0.35">
      <c r="A477">
        <v>3542404</v>
      </c>
      <c r="B477" t="s">
        <v>500</v>
      </c>
      <c r="C477">
        <v>9</v>
      </c>
      <c r="D477" t="s">
        <v>10</v>
      </c>
      <c r="E477">
        <v>263.27999999999997</v>
      </c>
      <c r="F477">
        <v>15256.483</v>
      </c>
      <c r="G477">
        <v>9</v>
      </c>
      <c r="H477">
        <v>189373.103</v>
      </c>
      <c r="I477">
        <v>462</v>
      </c>
    </row>
    <row r="478" spans="1:9" x14ac:dyDescent="0.35">
      <c r="A478">
        <v>3542503</v>
      </c>
      <c r="B478" t="s">
        <v>501</v>
      </c>
      <c r="C478">
        <v>3</v>
      </c>
      <c r="D478" t="s">
        <v>21</v>
      </c>
      <c r="E478">
        <v>410.40600000000001</v>
      </c>
      <c r="F478">
        <v>35432.345000000001</v>
      </c>
      <c r="G478">
        <v>6</v>
      </c>
      <c r="H478">
        <v>163982.53700000001</v>
      </c>
      <c r="I478">
        <v>226</v>
      </c>
    </row>
    <row r="479" spans="1:9" x14ac:dyDescent="0.35">
      <c r="A479">
        <v>3542602</v>
      </c>
      <c r="B479" t="s">
        <v>502</v>
      </c>
      <c r="C479">
        <v>16</v>
      </c>
      <c r="D479" t="s">
        <v>85</v>
      </c>
      <c r="E479">
        <v>722.20100000000002</v>
      </c>
      <c r="F479">
        <v>75331.111000000004</v>
      </c>
      <c r="G479">
        <v>10</v>
      </c>
      <c r="H479">
        <v>508443.74699999997</v>
      </c>
      <c r="I479">
        <v>1164</v>
      </c>
    </row>
    <row r="480" spans="1:9" x14ac:dyDescent="0.35">
      <c r="A480">
        <v>3542701</v>
      </c>
      <c r="B480" t="s">
        <v>503</v>
      </c>
      <c r="C480">
        <v>6</v>
      </c>
      <c r="D480" t="s">
        <v>55</v>
      </c>
      <c r="E480">
        <v>245.74600000000001</v>
      </c>
      <c r="F480">
        <v>40822.213000000003</v>
      </c>
      <c r="G480">
        <v>14</v>
      </c>
      <c r="H480">
        <v>91482.38</v>
      </c>
      <c r="I480">
        <v>175</v>
      </c>
    </row>
    <row r="481" spans="1:9" x14ac:dyDescent="0.35">
      <c r="A481">
        <v>3542800</v>
      </c>
      <c r="B481" t="s">
        <v>504</v>
      </c>
      <c r="C481">
        <v>7</v>
      </c>
      <c r="D481" t="s">
        <v>44</v>
      </c>
      <c r="E481">
        <v>335.74799999999999</v>
      </c>
      <c r="F481">
        <v>35223.701000000001</v>
      </c>
      <c r="G481">
        <v>4</v>
      </c>
      <c r="H481">
        <v>87204.353000000003</v>
      </c>
      <c r="I481">
        <v>67</v>
      </c>
    </row>
    <row r="482" spans="1:9" x14ac:dyDescent="0.35">
      <c r="A482">
        <v>3542909</v>
      </c>
      <c r="B482" t="s">
        <v>505</v>
      </c>
      <c r="C482">
        <v>5</v>
      </c>
      <c r="D482" t="s">
        <v>38</v>
      </c>
      <c r="E482">
        <v>471.553</v>
      </c>
      <c r="F482">
        <v>65768.304999999993</v>
      </c>
      <c r="G482">
        <v>10</v>
      </c>
      <c r="H482">
        <v>218900.15100000001</v>
      </c>
      <c r="I482">
        <v>357</v>
      </c>
    </row>
    <row r="483" spans="1:9" x14ac:dyDescent="0.35">
      <c r="A483">
        <v>3543006</v>
      </c>
      <c r="B483" t="s">
        <v>506</v>
      </c>
      <c r="C483">
        <v>7</v>
      </c>
      <c r="D483" t="s">
        <v>44</v>
      </c>
      <c r="E483">
        <v>697.5</v>
      </c>
      <c r="F483">
        <v>41758.038999999997</v>
      </c>
      <c r="G483">
        <v>13</v>
      </c>
      <c r="H483">
        <v>490237.19500000001</v>
      </c>
      <c r="I483">
        <v>708</v>
      </c>
    </row>
    <row r="484" spans="1:9" x14ac:dyDescent="0.35">
      <c r="A484">
        <v>3543105</v>
      </c>
      <c r="B484" t="s">
        <v>507</v>
      </c>
      <c r="C484">
        <v>6</v>
      </c>
      <c r="D484" t="s">
        <v>55</v>
      </c>
      <c r="E484">
        <v>148.33199999999999</v>
      </c>
      <c r="F484">
        <v>36545.974999999999</v>
      </c>
      <c r="G484">
        <v>10</v>
      </c>
      <c r="H484">
        <v>142332.185</v>
      </c>
      <c r="I484">
        <v>191</v>
      </c>
    </row>
    <row r="485" spans="1:9" x14ac:dyDescent="0.35">
      <c r="A485">
        <v>3543204</v>
      </c>
      <c r="B485" t="s">
        <v>508</v>
      </c>
      <c r="C485">
        <v>8</v>
      </c>
      <c r="D485" t="s">
        <v>34</v>
      </c>
      <c r="E485">
        <v>203.208</v>
      </c>
      <c r="F485">
        <v>51971.618000000002</v>
      </c>
      <c r="G485">
        <v>31</v>
      </c>
      <c r="H485">
        <v>155922.524</v>
      </c>
      <c r="I485">
        <v>211</v>
      </c>
    </row>
    <row r="486" spans="1:9" x14ac:dyDescent="0.35">
      <c r="A486">
        <v>3543238</v>
      </c>
      <c r="B486" t="s">
        <v>509</v>
      </c>
      <c r="C486">
        <v>9</v>
      </c>
      <c r="D486" t="s">
        <v>10</v>
      </c>
      <c r="E486">
        <v>196.446</v>
      </c>
      <c r="F486">
        <v>23913.227999999999</v>
      </c>
      <c r="G486">
        <v>3</v>
      </c>
      <c r="H486">
        <v>95772.271999999997</v>
      </c>
      <c r="I486">
        <v>133</v>
      </c>
    </row>
    <row r="487" spans="1:9" x14ac:dyDescent="0.35">
      <c r="A487">
        <v>3543253</v>
      </c>
      <c r="B487" t="s">
        <v>510</v>
      </c>
      <c r="C487">
        <v>7</v>
      </c>
      <c r="D487" t="s">
        <v>44</v>
      </c>
      <c r="E487">
        <v>333.363</v>
      </c>
      <c r="F487">
        <v>30745.383999999998</v>
      </c>
      <c r="G487">
        <v>5</v>
      </c>
      <c r="H487">
        <v>257393.65299999999</v>
      </c>
      <c r="I487">
        <v>656</v>
      </c>
    </row>
    <row r="488" spans="1:9" x14ac:dyDescent="0.35">
      <c r="A488">
        <v>3543303</v>
      </c>
      <c r="B488" t="s">
        <v>511</v>
      </c>
      <c r="C488">
        <v>10</v>
      </c>
      <c r="D488" t="s">
        <v>67</v>
      </c>
      <c r="E488">
        <v>99.075000000000003</v>
      </c>
      <c r="F488">
        <v>20794.254000000001</v>
      </c>
      <c r="G488">
        <v>15</v>
      </c>
      <c r="H488">
        <v>108770.391</v>
      </c>
      <c r="I488">
        <v>711</v>
      </c>
    </row>
    <row r="489" spans="1:9" x14ac:dyDescent="0.35">
      <c r="A489">
        <v>3543402</v>
      </c>
      <c r="B489" t="s">
        <v>512</v>
      </c>
      <c r="C489">
        <v>11</v>
      </c>
      <c r="D489" t="s">
        <v>27</v>
      </c>
      <c r="E489">
        <v>650.91600000000005</v>
      </c>
      <c r="F489">
        <v>62775.635999999999</v>
      </c>
      <c r="G489">
        <v>23</v>
      </c>
      <c r="H489">
        <v>495495.93900000001</v>
      </c>
      <c r="I489">
        <v>3140</v>
      </c>
    </row>
    <row r="490" spans="1:9" x14ac:dyDescent="0.35">
      <c r="A490">
        <v>3543501</v>
      </c>
      <c r="B490" t="s">
        <v>513</v>
      </c>
      <c r="C490">
        <v>7</v>
      </c>
      <c r="D490" t="s">
        <v>44</v>
      </c>
      <c r="E490">
        <v>385.87799999999999</v>
      </c>
      <c r="F490">
        <v>23445.144</v>
      </c>
      <c r="G490">
        <v>2</v>
      </c>
      <c r="H490">
        <v>197416.90599999999</v>
      </c>
      <c r="I490">
        <v>204</v>
      </c>
    </row>
    <row r="491" spans="1:9" x14ac:dyDescent="0.35">
      <c r="A491">
        <v>3543600</v>
      </c>
      <c r="B491" t="s">
        <v>514</v>
      </c>
      <c r="C491">
        <v>6</v>
      </c>
      <c r="D491" t="s">
        <v>55</v>
      </c>
      <c r="E491">
        <v>162.50800000000001</v>
      </c>
      <c r="F491">
        <v>42079.010999999999</v>
      </c>
      <c r="G491">
        <v>10</v>
      </c>
      <c r="H491">
        <v>133445.18299999999</v>
      </c>
      <c r="I491">
        <v>369</v>
      </c>
    </row>
    <row r="492" spans="1:9" x14ac:dyDescent="0.35">
      <c r="A492">
        <v>3543709</v>
      </c>
      <c r="B492" t="s">
        <v>515</v>
      </c>
      <c r="C492">
        <v>5</v>
      </c>
      <c r="D492" t="s">
        <v>38</v>
      </c>
      <c r="E492">
        <v>316.63900000000001</v>
      </c>
      <c r="F492">
        <v>24658.152999999998</v>
      </c>
      <c r="G492">
        <v>6</v>
      </c>
      <c r="H492">
        <v>125428.853</v>
      </c>
      <c r="I492">
        <v>215</v>
      </c>
    </row>
    <row r="493" spans="1:9" x14ac:dyDescent="0.35">
      <c r="A493">
        <v>3543808</v>
      </c>
      <c r="B493" t="s">
        <v>516</v>
      </c>
      <c r="C493">
        <v>8</v>
      </c>
      <c r="D493" t="s">
        <v>34</v>
      </c>
      <c r="E493">
        <v>358.48099999999999</v>
      </c>
      <c r="F493">
        <v>48254.752</v>
      </c>
      <c r="G493">
        <v>9</v>
      </c>
      <c r="H493">
        <v>248930.17199999999</v>
      </c>
      <c r="I493">
        <v>277</v>
      </c>
    </row>
    <row r="494" spans="1:9" x14ac:dyDescent="0.35">
      <c r="A494">
        <v>3543907</v>
      </c>
      <c r="B494" t="s">
        <v>517</v>
      </c>
      <c r="C494">
        <v>4</v>
      </c>
      <c r="D494" t="s">
        <v>14</v>
      </c>
      <c r="E494">
        <v>498.42200000000003</v>
      </c>
      <c r="F494">
        <v>58850.826000000001</v>
      </c>
      <c r="G494">
        <v>20</v>
      </c>
      <c r="H494">
        <v>377309.85399999999</v>
      </c>
      <c r="I494">
        <v>999</v>
      </c>
    </row>
    <row r="495" spans="1:9" x14ac:dyDescent="0.35">
      <c r="A495">
        <v>3544004</v>
      </c>
      <c r="B495" t="s">
        <v>518</v>
      </c>
      <c r="C495">
        <v>4</v>
      </c>
      <c r="D495" t="s">
        <v>14</v>
      </c>
      <c r="E495">
        <v>226.65700000000001</v>
      </c>
      <c r="F495">
        <v>12370.704</v>
      </c>
      <c r="G495">
        <v>4</v>
      </c>
      <c r="H495">
        <v>155012.894</v>
      </c>
      <c r="I495">
        <v>475</v>
      </c>
    </row>
    <row r="496" spans="1:9" x14ac:dyDescent="0.35">
      <c r="A496">
        <v>3544103</v>
      </c>
      <c r="B496" t="s">
        <v>519</v>
      </c>
      <c r="C496">
        <v>10</v>
      </c>
      <c r="D496" t="s">
        <v>67</v>
      </c>
      <c r="E496">
        <v>36.341000000000001</v>
      </c>
      <c r="F496">
        <v>19653.982</v>
      </c>
      <c r="G496">
        <v>8</v>
      </c>
      <c r="H496">
        <v>66122.160999999993</v>
      </c>
      <c r="I496">
        <v>337</v>
      </c>
    </row>
    <row r="497" spans="1:9" x14ac:dyDescent="0.35">
      <c r="A497">
        <v>3544202</v>
      </c>
      <c r="B497" t="s">
        <v>520</v>
      </c>
      <c r="C497">
        <v>14</v>
      </c>
      <c r="D497" t="s">
        <v>12</v>
      </c>
      <c r="E497">
        <v>631.89700000000005</v>
      </c>
      <c r="F497">
        <v>13721.853999999999</v>
      </c>
      <c r="G497">
        <v>4</v>
      </c>
      <c r="H497">
        <v>268909.00900000002</v>
      </c>
      <c r="I497">
        <v>467</v>
      </c>
    </row>
    <row r="498" spans="1:9" x14ac:dyDescent="0.35">
      <c r="A498">
        <v>3544251</v>
      </c>
      <c r="B498" t="s">
        <v>521</v>
      </c>
      <c r="C498">
        <v>9</v>
      </c>
      <c r="D498" t="s">
        <v>10</v>
      </c>
      <c r="E498">
        <v>744.01099999999997</v>
      </c>
      <c r="F498">
        <v>16982.506000000001</v>
      </c>
      <c r="G498">
        <v>5</v>
      </c>
      <c r="H498">
        <v>337810.32199999999</v>
      </c>
      <c r="I498">
        <v>373</v>
      </c>
    </row>
    <row r="499" spans="1:9" x14ac:dyDescent="0.35">
      <c r="A499">
        <v>3544301</v>
      </c>
      <c r="B499" t="s">
        <v>522</v>
      </c>
      <c r="C499">
        <v>15</v>
      </c>
      <c r="D499" t="s">
        <v>48</v>
      </c>
      <c r="E499">
        <v>130.654</v>
      </c>
      <c r="F499">
        <v>25221.249</v>
      </c>
      <c r="G499">
        <v>11</v>
      </c>
      <c r="H499">
        <v>71354.604999999996</v>
      </c>
      <c r="I499">
        <v>114</v>
      </c>
    </row>
    <row r="500" spans="1:9" x14ac:dyDescent="0.35">
      <c r="A500">
        <v>3544400</v>
      </c>
      <c r="B500" t="s">
        <v>523</v>
      </c>
      <c r="C500">
        <v>1</v>
      </c>
      <c r="D500" t="s">
        <v>29</v>
      </c>
      <c r="E500">
        <v>236.48400000000001</v>
      </c>
      <c r="F500">
        <v>42413.057000000001</v>
      </c>
      <c r="G500">
        <v>11</v>
      </c>
      <c r="H500">
        <v>91997.453999999998</v>
      </c>
      <c r="I500">
        <v>129</v>
      </c>
    </row>
    <row r="501" spans="1:9" x14ac:dyDescent="0.35">
      <c r="A501">
        <v>3544509</v>
      </c>
      <c r="B501" t="s">
        <v>524</v>
      </c>
      <c r="C501">
        <v>14</v>
      </c>
      <c r="D501" t="s">
        <v>12</v>
      </c>
      <c r="E501">
        <v>242.87700000000001</v>
      </c>
      <c r="F501">
        <v>19574.442999999999</v>
      </c>
      <c r="G501">
        <v>7</v>
      </c>
      <c r="H501">
        <v>76206.482000000004</v>
      </c>
      <c r="I501">
        <v>185</v>
      </c>
    </row>
    <row r="502" spans="1:9" x14ac:dyDescent="0.35">
      <c r="A502">
        <v>3544608</v>
      </c>
      <c r="B502" t="s">
        <v>525</v>
      </c>
      <c r="C502">
        <v>3</v>
      </c>
      <c r="D502" t="s">
        <v>21</v>
      </c>
      <c r="E502">
        <v>305.28500000000003</v>
      </c>
      <c r="F502">
        <v>20543.575000000001</v>
      </c>
      <c r="G502">
        <v>7</v>
      </c>
      <c r="H502">
        <v>115983.967</v>
      </c>
      <c r="I502">
        <v>161</v>
      </c>
    </row>
    <row r="503" spans="1:9" x14ac:dyDescent="0.35">
      <c r="A503">
        <v>3544707</v>
      </c>
      <c r="B503" t="s">
        <v>526</v>
      </c>
      <c r="C503">
        <v>9</v>
      </c>
      <c r="D503" t="s">
        <v>10</v>
      </c>
      <c r="E503">
        <v>147.935</v>
      </c>
      <c r="F503">
        <v>28606.096000000001</v>
      </c>
      <c r="G503">
        <v>9</v>
      </c>
      <c r="H503">
        <v>65333.396000000001</v>
      </c>
      <c r="I503">
        <v>84</v>
      </c>
    </row>
    <row r="504" spans="1:9" x14ac:dyDescent="0.35">
      <c r="A504">
        <v>3544806</v>
      </c>
      <c r="B504" t="s">
        <v>527</v>
      </c>
      <c r="C504">
        <v>14</v>
      </c>
      <c r="D504" t="s">
        <v>12</v>
      </c>
      <c r="E504">
        <v>308.55500000000001</v>
      </c>
      <c r="F504">
        <v>33461.457999999999</v>
      </c>
      <c r="G504">
        <v>11</v>
      </c>
      <c r="H504">
        <v>168202.666</v>
      </c>
      <c r="I504">
        <v>315</v>
      </c>
    </row>
    <row r="505" spans="1:9" x14ac:dyDescent="0.35">
      <c r="A505">
        <v>3544905</v>
      </c>
      <c r="B505" t="s">
        <v>528</v>
      </c>
      <c r="C505">
        <v>6</v>
      </c>
      <c r="D505" t="s">
        <v>55</v>
      </c>
      <c r="E505">
        <v>305.77600000000001</v>
      </c>
      <c r="F505">
        <v>26638.553</v>
      </c>
      <c r="G505">
        <v>6</v>
      </c>
      <c r="H505">
        <v>136289.12400000001</v>
      </c>
      <c r="I505">
        <v>200</v>
      </c>
    </row>
    <row r="506" spans="1:9" x14ac:dyDescent="0.35">
      <c r="A506">
        <v>3545001</v>
      </c>
      <c r="B506" t="s">
        <v>529</v>
      </c>
      <c r="C506">
        <v>10</v>
      </c>
      <c r="D506" t="s">
        <v>67</v>
      </c>
      <c r="E506">
        <v>424.99700000000001</v>
      </c>
      <c r="F506">
        <v>41101.222000000002</v>
      </c>
      <c r="G506">
        <v>10</v>
      </c>
      <c r="H506">
        <v>329405.071</v>
      </c>
      <c r="I506">
        <v>472</v>
      </c>
    </row>
    <row r="507" spans="1:9" x14ac:dyDescent="0.35">
      <c r="A507">
        <v>3545100</v>
      </c>
      <c r="B507" t="s">
        <v>530</v>
      </c>
      <c r="C507">
        <v>9</v>
      </c>
      <c r="D507" t="s">
        <v>10</v>
      </c>
      <c r="E507">
        <v>172.934</v>
      </c>
      <c r="F507">
        <v>28560.460999999999</v>
      </c>
      <c r="G507">
        <v>7</v>
      </c>
      <c r="H507">
        <v>86229.206999999995</v>
      </c>
      <c r="I507">
        <v>112</v>
      </c>
    </row>
    <row r="508" spans="1:9" x14ac:dyDescent="0.35">
      <c r="A508">
        <v>3545159</v>
      </c>
      <c r="B508" t="s">
        <v>531</v>
      </c>
      <c r="C508">
        <v>4</v>
      </c>
      <c r="D508" t="s">
        <v>14</v>
      </c>
      <c r="E508">
        <v>99.738</v>
      </c>
      <c r="F508">
        <v>20688.396000000001</v>
      </c>
      <c r="G508">
        <v>8</v>
      </c>
      <c r="H508">
        <v>69948.645999999993</v>
      </c>
      <c r="I508">
        <v>251</v>
      </c>
    </row>
    <row r="509" spans="1:9" x14ac:dyDescent="0.35">
      <c r="A509">
        <v>3545209</v>
      </c>
      <c r="B509" t="s">
        <v>532</v>
      </c>
      <c r="C509">
        <v>13</v>
      </c>
      <c r="D509" t="s">
        <v>18</v>
      </c>
      <c r="E509">
        <v>133.05699999999999</v>
      </c>
      <c r="F509">
        <v>20818.276999999998</v>
      </c>
      <c r="G509">
        <v>11</v>
      </c>
      <c r="H509">
        <v>156800.73699999999</v>
      </c>
      <c r="I509">
        <v>758</v>
      </c>
    </row>
    <row r="510" spans="1:9" x14ac:dyDescent="0.35">
      <c r="A510">
        <v>3545308</v>
      </c>
      <c r="B510" t="s">
        <v>533</v>
      </c>
      <c r="C510">
        <v>13</v>
      </c>
      <c r="D510" t="s">
        <v>18</v>
      </c>
      <c r="E510">
        <v>280.50900000000001</v>
      </c>
      <c r="F510">
        <v>34652.201999999997</v>
      </c>
      <c r="G510">
        <v>15</v>
      </c>
      <c r="H510">
        <v>248002.022</v>
      </c>
      <c r="I510">
        <v>802</v>
      </c>
    </row>
    <row r="511" spans="1:9" x14ac:dyDescent="0.35">
      <c r="A511">
        <v>3545407</v>
      </c>
      <c r="B511" t="s">
        <v>534</v>
      </c>
      <c r="C511">
        <v>8</v>
      </c>
      <c r="D511" t="s">
        <v>34</v>
      </c>
      <c r="E511">
        <v>188.441</v>
      </c>
      <c r="F511">
        <v>17428.998</v>
      </c>
      <c r="G511">
        <v>6</v>
      </c>
      <c r="H511">
        <v>147844.43</v>
      </c>
      <c r="I511">
        <v>227</v>
      </c>
    </row>
    <row r="512" spans="1:9" x14ac:dyDescent="0.35">
      <c r="A512">
        <v>3545506</v>
      </c>
      <c r="B512" t="s">
        <v>535</v>
      </c>
      <c r="C512">
        <v>9</v>
      </c>
      <c r="D512" t="s">
        <v>10</v>
      </c>
      <c r="E512">
        <v>455.85599999999999</v>
      </c>
      <c r="F512">
        <v>67130.016999999993</v>
      </c>
      <c r="G512">
        <v>8</v>
      </c>
      <c r="H512">
        <v>179486.72399999999</v>
      </c>
      <c r="I512">
        <v>213</v>
      </c>
    </row>
    <row r="513" spans="1:9" x14ac:dyDescent="0.35">
      <c r="A513">
        <v>3545605</v>
      </c>
      <c r="B513" t="s">
        <v>536</v>
      </c>
      <c r="C513">
        <v>14</v>
      </c>
      <c r="D513" t="s">
        <v>12</v>
      </c>
      <c r="E513">
        <v>330.26900000000001</v>
      </c>
      <c r="F513">
        <v>41984.154999999999</v>
      </c>
      <c r="G513">
        <v>12</v>
      </c>
      <c r="H513">
        <v>210568.587</v>
      </c>
      <c r="I513">
        <v>374</v>
      </c>
    </row>
    <row r="514" spans="1:9" x14ac:dyDescent="0.35">
      <c r="A514">
        <v>3545704</v>
      </c>
      <c r="B514" t="s">
        <v>537</v>
      </c>
      <c r="C514">
        <v>14</v>
      </c>
      <c r="D514" t="s">
        <v>12</v>
      </c>
      <c r="E514">
        <v>272.69200000000001</v>
      </c>
      <c r="F514">
        <v>6994.2250000000004</v>
      </c>
      <c r="G514">
        <v>5</v>
      </c>
      <c r="H514">
        <v>178087.95800000001</v>
      </c>
      <c r="I514">
        <v>220</v>
      </c>
    </row>
    <row r="515" spans="1:9" x14ac:dyDescent="0.35">
      <c r="A515">
        <v>3545803</v>
      </c>
      <c r="B515" t="s">
        <v>538</v>
      </c>
      <c r="C515">
        <v>4</v>
      </c>
      <c r="D515" t="s">
        <v>14</v>
      </c>
      <c r="E515">
        <v>271.02999999999997</v>
      </c>
      <c r="F515">
        <v>38944.264999999999</v>
      </c>
      <c r="G515">
        <v>15</v>
      </c>
      <c r="H515">
        <v>154493.84099999999</v>
      </c>
      <c r="I515">
        <v>850</v>
      </c>
    </row>
    <row r="516" spans="1:9" x14ac:dyDescent="0.35">
      <c r="A516">
        <v>3546009</v>
      </c>
      <c r="B516" t="s">
        <v>539</v>
      </c>
      <c r="C516">
        <v>15</v>
      </c>
      <c r="D516" t="s">
        <v>48</v>
      </c>
      <c r="E516">
        <v>272.238</v>
      </c>
      <c r="F516">
        <v>51246.997000000003</v>
      </c>
      <c r="G516">
        <v>14</v>
      </c>
      <c r="H516">
        <v>244994.20699999999</v>
      </c>
      <c r="I516">
        <v>449</v>
      </c>
    </row>
    <row r="517" spans="1:9" x14ac:dyDescent="0.35">
      <c r="A517">
        <v>3546108</v>
      </c>
      <c r="B517" t="s">
        <v>540</v>
      </c>
      <c r="C517">
        <v>14</v>
      </c>
      <c r="D517" t="s">
        <v>12</v>
      </c>
      <c r="E517">
        <v>183.458</v>
      </c>
      <c r="F517">
        <v>6356.567</v>
      </c>
      <c r="G517">
        <v>1</v>
      </c>
      <c r="H517">
        <v>93833.410999999993</v>
      </c>
      <c r="I517">
        <v>119</v>
      </c>
    </row>
    <row r="518" spans="1:9" x14ac:dyDescent="0.35">
      <c r="A518">
        <v>3546207</v>
      </c>
      <c r="B518" t="s">
        <v>541</v>
      </c>
      <c r="C518">
        <v>4</v>
      </c>
      <c r="D518" t="s">
        <v>14</v>
      </c>
      <c r="E518">
        <v>150.13</v>
      </c>
      <c r="F518">
        <v>5240.3980000000001</v>
      </c>
      <c r="G518">
        <v>2</v>
      </c>
      <c r="H518">
        <v>122795.74</v>
      </c>
      <c r="I518">
        <v>210</v>
      </c>
    </row>
    <row r="519" spans="1:9" x14ac:dyDescent="0.35">
      <c r="A519">
        <v>3546256</v>
      </c>
      <c r="B519" t="s">
        <v>542</v>
      </c>
      <c r="C519">
        <v>11</v>
      </c>
      <c r="D519" t="s">
        <v>27</v>
      </c>
      <c r="E519">
        <v>148.06200000000001</v>
      </c>
      <c r="F519">
        <v>17265.633999999998</v>
      </c>
      <c r="G519">
        <v>2</v>
      </c>
      <c r="H519">
        <v>76435.362999999998</v>
      </c>
      <c r="I519">
        <v>129</v>
      </c>
    </row>
    <row r="520" spans="1:9" x14ac:dyDescent="0.35">
      <c r="A520">
        <v>3546306</v>
      </c>
      <c r="B520" t="s">
        <v>543</v>
      </c>
      <c r="C520">
        <v>4</v>
      </c>
      <c r="D520" t="s">
        <v>14</v>
      </c>
      <c r="E520">
        <v>295.33699999999999</v>
      </c>
      <c r="F520">
        <v>14893.902</v>
      </c>
      <c r="G520">
        <v>3</v>
      </c>
      <c r="H520">
        <v>148342.44699999999</v>
      </c>
      <c r="I520">
        <v>315</v>
      </c>
    </row>
    <row r="521" spans="1:9" x14ac:dyDescent="0.35">
      <c r="A521">
        <v>3546405</v>
      </c>
      <c r="B521" t="s">
        <v>544</v>
      </c>
      <c r="C521">
        <v>8</v>
      </c>
      <c r="D521" t="s">
        <v>34</v>
      </c>
      <c r="E521">
        <v>1114.7470000000001</v>
      </c>
      <c r="F521">
        <v>58286.091999999997</v>
      </c>
      <c r="G521">
        <v>14</v>
      </c>
      <c r="H521">
        <v>663034.80200000003</v>
      </c>
      <c r="I521">
        <v>981</v>
      </c>
    </row>
    <row r="522" spans="1:9" x14ac:dyDescent="0.35">
      <c r="A522">
        <v>3546504</v>
      </c>
      <c r="B522" t="s">
        <v>545</v>
      </c>
      <c r="C522">
        <v>5</v>
      </c>
      <c r="D522" t="s">
        <v>38</v>
      </c>
      <c r="E522">
        <v>134.42099999999999</v>
      </c>
      <c r="F522">
        <v>7203.6750000000002</v>
      </c>
      <c r="G522">
        <v>4</v>
      </c>
      <c r="H522">
        <v>87291.668999999994</v>
      </c>
      <c r="I522">
        <v>248</v>
      </c>
    </row>
    <row r="523" spans="1:9" x14ac:dyDescent="0.35">
      <c r="A523">
        <v>3546603</v>
      </c>
      <c r="B523" t="s">
        <v>546</v>
      </c>
      <c r="C523">
        <v>14</v>
      </c>
      <c r="D523" t="s">
        <v>12</v>
      </c>
      <c r="E523">
        <v>206.53700000000001</v>
      </c>
      <c r="F523">
        <v>30628.502</v>
      </c>
      <c r="G523">
        <v>15</v>
      </c>
      <c r="H523">
        <v>124129.785</v>
      </c>
      <c r="I523">
        <v>264</v>
      </c>
    </row>
    <row r="524" spans="1:9" x14ac:dyDescent="0.35">
      <c r="A524">
        <v>3546702</v>
      </c>
      <c r="B524" t="s">
        <v>547</v>
      </c>
      <c r="C524">
        <v>4</v>
      </c>
      <c r="D524" t="s">
        <v>14</v>
      </c>
      <c r="E524">
        <v>98.290999999999997</v>
      </c>
      <c r="F524">
        <v>23215.305</v>
      </c>
      <c r="G524">
        <v>8</v>
      </c>
      <c r="H524">
        <v>39371.892</v>
      </c>
      <c r="I524">
        <v>132</v>
      </c>
    </row>
    <row r="525" spans="1:9" x14ac:dyDescent="0.35">
      <c r="A525">
        <v>3546801</v>
      </c>
      <c r="B525" t="s">
        <v>548</v>
      </c>
      <c r="C525">
        <v>10</v>
      </c>
      <c r="D525" t="s">
        <v>67</v>
      </c>
      <c r="E525">
        <v>363.33199999999999</v>
      </c>
      <c r="F525">
        <v>45177.313000000002</v>
      </c>
      <c r="G525">
        <v>11</v>
      </c>
      <c r="H525">
        <v>528147.44799999997</v>
      </c>
      <c r="I525">
        <v>1265</v>
      </c>
    </row>
    <row r="526" spans="1:9" x14ac:dyDescent="0.35">
      <c r="A526">
        <v>3546900</v>
      </c>
      <c r="B526" t="s">
        <v>549</v>
      </c>
      <c r="C526">
        <v>5</v>
      </c>
      <c r="D526" t="s">
        <v>38</v>
      </c>
      <c r="E526">
        <v>154.03299999999999</v>
      </c>
      <c r="F526">
        <v>1324.9490000000001</v>
      </c>
      <c r="G526">
        <v>2</v>
      </c>
      <c r="H526">
        <v>52028.472000000002</v>
      </c>
      <c r="I526">
        <v>83</v>
      </c>
    </row>
    <row r="527" spans="1:9" x14ac:dyDescent="0.35">
      <c r="A527">
        <v>3547007</v>
      </c>
      <c r="B527" t="s">
        <v>550</v>
      </c>
      <c r="C527">
        <v>4</v>
      </c>
      <c r="D527" t="s">
        <v>14</v>
      </c>
      <c r="E527">
        <v>252.62100000000001</v>
      </c>
      <c r="F527">
        <v>10627.852999999999</v>
      </c>
      <c r="G527">
        <v>3</v>
      </c>
      <c r="H527">
        <v>96661.114000000001</v>
      </c>
      <c r="I527">
        <v>156</v>
      </c>
    </row>
    <row r="528" spans="1:9" x14ac:dyDescent="0.35">
      <c r="A528">
        <v>3547106</v>
      </c>
      <c r="B528" t="s">
        <v>551</v>
      </c>
      <c r="C528">
        <v>9</v>
      </c>
      <c r="D528" t="s">
        <v>10</v>
      </c>
      <c r="E528">
        <v>166.75299999999999</v>
      </c>
      <c r="F528">
        <v>22526.651999999998</v>
      </c>
      <c r="G528">
        <v>7</v>
      </c>
      <c r="H528">
        <v>91363.775999999998</v>
      </c>
      <c r="I528">
        <v>151</v>
      </c>
    </row>
    <row r="529" spans="1:9" x14ac:dyDescent="0.35">
      <c r="A529">
        <v>3547205</v>
      </c>
      <c r="B529" t="s">
        <v>552</v>
      </c>
      <c r="C529">
        <v>14</v>
      </c>
      <c r="D529" t="s">
        <v>12</v>
      </c>
      <c r="E529">
        <v>129.88800000000001</v>
      </c>
      <c r="F529">
        <v>10634.026</v>
      </c>
      <c r="G529">
        <v>6</v>
      </c>
      <c r="H529">
        <v>69628.957999999999</v>
      </c>
      <c r="I529">
        <v>116</v>
      </c>
    </row>
    <row r="530" spans="1:9" x14ac:dyDescent="0.35">
      <c r="A530">
        <v>3547304</v>
      </c>
      <c r="B530" t="s">
        <v>553</v>
      </c>
      <c r="C530">
        <v>10</v>
      </c>
      <c r="D530" t="s">
        <v>67</v>
      </c>
      <c r="E530">
        <v>179.94900000000001</v>
      </c>
      <c r="F530">
        <v>21491.105</v>
      </c>
      <c r="G530">
        <v>8</v>
      </c>
      <c r="H530">
        <v>277271.82400000002</v>
      </c>
      <c r="I530">
        <v>1460</v>
      </c>
    </row>
    <row r="531" spans="1:9" x14ac:dyDescent="0.35">
      <c r="A531">
        <v>3547403</v>
      </c>
      <c r="B531" t="s">
        <v>554</v>
      </c>
      <c r="C531">
        <v>14</v>
      </c>
      <c r="D531" t="s">
        <v>12</v>
      </c>
      <c r="E531">
        <v>209.8</v>
      </c>
      <c r="F531">
        <v>22500.53</v>
      </c>
      <c r="G531">
        <v>5</v>
      </c>
      <c r="H531">
        <v>122647.436</v>
      </c>
      <c r="I531">
        <v>118</v>
      </c>
    </row>
    <row r="532" spans="1:9" x14ac:dyDescent="0.35">
      <c r="A532">
        <v>3547502</v>
      </c>
      <c r="B532" t="s">
        <v>555</v>
      </c>
      <c r="C532">
        <v>5</v>
      </c>
      <c r="D532" t="s">
        <v>38</v>
      </c>
      <c r="E532">
        <v>754.14099999999996</v>
      </c>
      <c r="F532">
        <v>67777.66</v>
      </c>
      <c r="G532">
        <v>16</v>
      </c>
      <c r="H532">
        <v>453217.00799999997</v>
      </c>
      <c r="I532">
        <v>865</v>
      </c>
    </row>
    <row r="533" spans="1:9" x14ac:dyDescent="0.35">
      <c r="A533">
        <v>3547601</v>
      </c>
      <c r="B533" t="s">
        <v>556</v>
      </c>
      <c r="C533">
        <v>11</v>
      </c>
      <c r="D533" t="s">
        <v>27</v>
      </c>
      <c r="E533">
        <v>288.57600000000002</v>
      </c>
      <c r="F533">
        <v>25637.735000000001</v>
      </c>
      <c r="G533">
        <v>4</v>
      </c>
      <c r="H533">
        <v>202039.66500000001</v>
      </c>
      <c r="I533">
        <v>506</v>
      </c>
    </row>
    <row r="534" spans="1:9" x14ac:dyDescent="0.35">
      <c r="A534">
        <v>3547650</v>
      </c>
      <c r="B534" t="s">
        <v>557</v>
      </c>
      <c r="C534">
        <v>14</v>
      </c>
      <c r="D534" t="s">
        <v>12</v>
      </c>
      <c r="E534">
        <v>79.191999999999993</v>
      </c>
      <c r="F534">
        <v>3533.7660000000001</v>
      </c>
      <c r="G534">
        <v>2</v>
      </c>
      <c r="H534">
        <v>72421.801999999996</v>
      </c>
      <c r="I534">
        <v>159</v>
      </c>
    </row>
    <row r="535" spans="1:9" x14ac:dyDescent="0.35">
      <c r="A535">
        <v>3547700</v>
      </c>
      <c r="B535" t="s">
        <v>558</v>
      </c>
      <c r="C535">
        <v>9</v>
      </c>
      <c r="D535" t="s">
        <v>10</v>
      </c>
      <c r="E535">
        <v>552.87599999999998</v>
      </c>
      <c r="F535">
        <v>60856.091999999997</v>
      </c>
      <c r="G535">
        <v>11</v>
      </c>
      <c r="H535">
        <v>305313.01199999999</v>
      </c>
      <c r="I535">
        <v>403</v>
      </c>
    </row>
    <row r="536" spans="1:9" x14ac:dyDescent="0.35">
      <c r="A536">
        <v>3547809</v>
      </c>
      <c r="B536" t="s">
        <v>559</v>
      </c>
      <c r="C536">
        <v>10</v>
      </c>
      <c r="D536" t="s">
        <v>67</v>
      </c>
      <c r="E536">
        <v>175.78200000000001</v>
      </c>
      <c r="F536">
        <v>9089.1010000000006</v>
      </c>
      <c r="G536">
        <v>10</v>
      </c>
      <c r="H536">
        <v>86272.964999999997</v>
      </c>
      <c r="I536">
        <v>426</v>
      </c>
    </row>
    <row r="537" spans="1:9" x14ac:dyDescent="0.35">
      <c r="A537">
        <v>3547908</v>
      </c>
      <c r="B537" t="s">
        <v>560</v>
      </c>
      <c r="C537">
        <v>11</v>
      </c>
      <c r="D537" t="s">
        <v>27</v>
      </c>
      <c r="E537">
        <v>310.33800000000002</v>
      </c>
      <c r="F537">
        <v>55663.73</v>
      </c>
      <c r="G537">
        <v>19</v>
      </c>
      <c r="H537">
        <v>257712.86</v>
      </c>
      <c r="I537">
        <v>322</v>
      </c>
    </row>
    <row r="538" spans="1:9" x14ac:dyDescent="0.35">
      <c r="A538">
        <v>3548005</v>
      </c>
      <c r="B538" t="s">
        <v>561</v>
      </c>
      <c r="C538">
        <v>4</v>
      </c>
      <c r="D538" t="s">
        <v>14</v>
      </c>
      <c r="E538">
        <v>154.13300000000001</v>
      </c>
      <c r="F538">
        <v>30741.787</v>
      </c>
      <c r="G538">
        <v>10</v>
      </c>
      <c r="H538">
        <v>155320.20199999999</v>
      </c>
      <c r="I538">
        <v>431</v>
      </c>
    </row>
    <row r="539" spans="1:9" x14ac:dyDescent="0.35">
      <c r="A539">
        <v>3548054</v>
      </c>
      <c r="B539" t="s">
        <v>562</v>
      </c>
      <c r="C539">
        <v>1</v>
      </c>
      <c r="D539" t="s">
        <v>29</v>
      </c>
      <c r="E539">
        <v>1308.432</v>
      </c>
      <c r="F539">
        <v>117055.21</v>
      </c>
      <c r="G539">
        <v>34</v>
      </c>
      <c r="H539">
        <v>544097.26899999997</v>
      </c>
      <c r="I539">
        <v>576</v>
      </c>
    </row>
    <row r="540" spans="1:9" x14ac:dyDescent="0.35">
      <c r="A540">
        <v>3548104</v>
      </c>
      <c r="B540" t="s">
        <v>563</v>
      </c>
      <c r="C540">
        <v>4</v>
      </c>
      <c r="D540" t="s">
        <v>14</v>
      </c>
      <c r="E540">
        <v>109.956</v>
      </c>
      <c r="F540">
        <v>34108.400000000001</v>
      </c>
      <c r="G540">
        <v>6</v>
      </c>
      <c r="H540">
        <v>162189.226</v>
      </c>
      <c r="I540">
        <v>381</v>
      </c>
    </row>
    <row r="541" spans="1:9" x14ac:dyDescent="0.35">
      <c r="A541">
        <v>3548203</v>
      </c>
      <c r="B541" t="s">
        <v>564</v>
      </c>
      <c r="C541">
        <v>15</v>
      </c>
      <c r="D541" t="s">
        <v>48</v>
      </c>
      <c r="E541">
        <v>133.00800000000001</v>
      </c>
      <c r="F541">
        <v>22828.215</v>
      </c>
      <c r="G541">
        <v>8</v>
      </c>
      <c r="H541">
        <v>132409.617</v>
      </c>
      <c r="I541">
        <v>450</v>
      </c>
    </row>
    <row r="542" spans="1:9" x14ac:dyDescent="0.35">
      <c r="A542">
        <v>3548302</v>
      </c>
      <c r="B542" t="s">
        <v>565</v>
      </c>
      <c r="C542">
        <v>9</v>
      </c>
      <c r="D542" t="s">
        <v>10</v>
      </c>
      <c r="E542">
        <v>94.465000000000003</v>
      </c>
      <c r="F542">
        <v>18519.182000000001</v>
      </c>
      <c r="G542">
        <v>7</v>
      </c>
      <c r="H542">
        <v>52342.828999999998</v>
      </c>
      <c r="I542">
        <v>87</v>
      </c>
    </row>
    <row r="543" spans="1:9" x14ac:dyDescent="0.35">
      <c r="A543">
        <v>3548401</v>
      </c>
      <c r="B543" t="s">
        <v>566</v>
      </c>
      <c r="C543">
        <v>1</v>
      </c>
      <c r="D543" t="s">
        <v>29</v>
      </c>
      <c r="E543">
        <v>128.02600000000001</v>
      </c>
      <c r="F543">
        <v>11841.212</v>
      </c>
      <c r="G543">
        <v>3</v>
      </c>
      <c r="H543">
        <v>51178.000999999997</v>
      </c>
      <c r="I543">
        <v>62</v>
      </c>
    </row>
    <row r="544" spans="1:9" x14ac:dyDescent="0.35">
      <c r="A544">
        <v>3548500</v>
      </c>
      <c r="B544" t="s">
        <v>567</v>
      </c>
      <c r="C544">
        <v>12</v>
      </c>
      <c r="D544" t="s">
        <v>96</v>
      </c>
      <c r="E544">
        <v>281.03300000000002</v>
      </c>
      <c r="F544">
        <v>16464.352999999999</v>
      </c>
      <c r="G544">
        <v>6</v>
      </c>
      <c r="H544">
        <v>47451.146000000001</v>
      </c>
      <c r="I544">
        <v>350</v>
      </c>
    </row>
    <row r="545" spans="1:9" x14ac:dyDescent="0.35">
      <c r="A545">
        <v>3548609</v>
      </c>
      <c r="B545" t="s">
        <v>568</v>
      </c>
      <c r="C545">
        <v>15</v>
      </c>
      <c r="D545" t="s">
        <v>48</v>
      </c>
      <c r="E545">
        <v>252.57900000000001</v>
      </c>
      <c r="F545">
        <v>47787.303</v>
      </c>
      <c r="G545">
        <v>6</v>
      </c>
      <c r="H545">
        <v>232837.67</v>
      </c>
      <c r="I545">
        <v>399</v>
      </c>
    </row>
    <row r="546" spans="1:9" x14ac:dyDescent="0.35">
      <c r="A546">
        <v>3548708</v>
      </c>
      <c r="B546" t="s">
        <v>569</v>
      </c>
      <c r="C546">
        <v>10</v>
      </c>
      <c r="D546" t="s">
        <v>67</v>
      </c>
      <c r="E546">
        <v>409.53199999999998</v>
      </c>
      <c r="F546">
        <v>22134.543000000001</v>
      </c>
      <c r="G546">
        <v>11</v>
      </c>
      <c r="H546">
        <v>269376.78399999999</v>
      </c>
      <c r="I546">
        <v>1114</v>
      </c>
    </row>
    <row r="547" spans="1:9" x14ac:dyDescent="0.35">
      <c r="A547">
        <v>3548807</v>
      </c>
      <c r="B547" t="s">
        <v>570</v>
      </c>
      <c r="C547">
        <v>10</v>
      </c>
      <c r="D547" t="s">
        <v>67</v>
      </c>
      <c r="E547">
        <v>15.331</v>
      </c>
    </row>
    <row r="548" spans="1:9" x14ac:dyDescent="0.35">
      <c r="A548">
        <v>3548906</v>
      </c>
      <c r="B548" t="s">
        <v>571</v>
      </c>
      <c r="C548">
        <v>5</v>
      </c>
      <c r="D548" t="s">
        <v>38</v>
      </c>
      <c r="E548">
        <v>1136.9069999999999</v>
      </c>
      <c r="F548">
        <v>99234.781999999992</v>
      </c>
      <c r="G548">
        <v>27</v>
      </c>
      <c r="H548">
        <v>745323.4</v>
      </c>
      <c r="I548">
        <v>2032</v>
      </c>
    </row>
    <row r="549" spans="1:9" x14ac:dyDescent="0.35">
      <c r="A549">
        <v>3549003</v>
      </c>
      <c r="B549" t="s">
        <v>572</v>
      </c>
      <c r="C549">
        <v>14</v>
      </c>
      <c r="D549" t="s">
        <v>12</v>
      </c>
      <c r="E549">
        <v>75.578999999999994</v>
      </c>
      <c r="H549">
        <v>64732.036</v>
      </c>
      <c r="I549">
        <v>85</v>
      </c>
    </row>
    <row r="550" spans="1:9" x14ac:dyDescent="0.35">
      <c r="A550">
        <v>3549102</v>
      </c>
      <c r="B550" t="s">
        <v>573</v>
      </c>
      <c r="C550">
        <v>4</v>
      </c>
      <c r="D550" t="s">
        <v>14</v>
      </c>
      <c r="E550">
        <v>516.399</v>
      </c>
      <c r="F550">
        <v>38288.928</v>
      </c>
      <c r="G550">
        <v>7</v>
      </c>
      <c r="H550">
        <v>422343.337</v>
      </c>
      <c r="I550">
        <v>1158</v>
      </c>
    </row>
    <row r="551" spans="1:9" x14ac:dyDescent="0.35">
      <c r="A551">
        <v>3549201</v>
      </c>
      <c r="B551" t="s">
        <v>574</v>
      </c>
      <c r="C551">
        <v>14</v>
      </c>
      <c r="D551" t="s">
        <v>12</v>
      </c>
      <c r="E551">
        <v>129.46199999999999</v>
      </c>
      <c r="F551">
        <v>24429.222000000002</v>
      </c>
      <c r="G551">
        <v>6</v>
      </c>
      <c r="H551">
        <v>84220.887000000002</v>
      </c>
      <c r="I551">
        <v>109</v>
      </c>
    </row>
    <row r="552" spans="1:9" x14ac:dyDescent="0.35">
      <c r="A552">
        <v>3549250</v>
      </c>
      <c r="B552" t="s">
        <v>575</v>
      </c>
      <c r="C552">
        <v>1</v>
      </c>
      <c r="D552" t="s">
        <v>29</v>
      </c>
      <c r="E552">
        <v>178.39599999999999</v>
      </c>
      <c r="F552">
        <v>14998.870999999999</v>
      </c>
      <c r="G552">
        <v>2</v>
      </c>
      <c r="H552">
        <v>104407.981</v>
      </c>
      <c r="I552">
        <v>90</v>
      </c>
    </row>
    <row r="553" spans="1:9" x14ac:dyDescent="0.35">
      <c r="A553">
        <v>3549300</v>
      </c>
      <c r="B553" t="s">
        <v>576</v>
      </c>
      <c r="C553">
        <v>9</v>
      </c>
      <c r="D553" t="s">
        <v>10</v>
      </c>
      <c r="E553">
        <v>117.66500000000001</v>
      </c>
      <c r="F553">
        <v>29905.966</v>
      </c>
      <c r="G553">
        <v>11</v>
      </c>
      <c r="H553">
        <v>67589.188999999998</v>
      </c>
      <c r="I553">
        <v>57</v>
      </c>
    </row>
    <row r="554" spans="1:9" x14ac:dyDescent="0.35">
      <c r="A554">
        <v>3549409</v>
      </c>
      <c r="B554" t="s">
        <v>577</v>
      </c>
      <c r="C554">
        <v>6</v>
      </c>
      <c r="D554" t="s">
        <v>55</v>
      </c>
      <c r="E554">
        <v>410.863</v>
      </c>
      <c r="F554">
        <v>24706.701000000001</v>
      </c>
      <c r="G554">
        <v>5</v>
      </c>
      <c r="H554">
        <v>215103.70699999999</v>
      </c>
      <c r="I554">
        <v>948</v>
      </c>
    </row>
    <row r="555" spans="1:9" x14ac:dyDescent="0.35">
      <c r="A555">
        <v>3549508</v>
      </c>
      <c r="B555" t="s">
        <v>578</v>
      </c>
      <c r="C555">
        <v>6</v>
      </c>
      <c r="D555" t="s">
        <v>55</v>
      </c>
      <c r="E555">
        <v>276.952</v>
      </c>
      <c r="F555">
        <v>38433.764000000003</v>
      </c>
      <c r="G555">
        <v>13</v>
      </c>
      <c r="H555">
        <v>179749.973</v>
      </c>
      <c r="I555">
        <v>250</v>
      </c>
    </row>
    <row r="556" spans="1:9" x14ac:dyDescent="0.35">
      <c r="A556">
        <v>3549607</v>
      </c>
      <c r="B556" t="s">
        <v>579</v>
      </c>
      <c r="C556">
        <v>15</v>
      </c>
      <c r="D556" t="s">
        <v>48</v>
      </c>
      <c r="E556">
        <v>570.68499999999995</v>
      </c>
      <c r="F556">
        <v>18286.368999999999</v>
      </c>
      <c r="G556">
        <v>9</v>
      </c>
      <c r="H556">
        <v>220437.465</v>
      </c>
      <c r="I556">
        <v>279</v>
      </c>
    </row>
    <row r="557" spans="1:9" x14ac:dyDescent="0.35">
      <c r="A557">
        <v>3549706</v>
      </c>
      <c r="B557" t="s">
        <v>580</v>
      </c>
      <c r="C557">
        <v>4</v>
      </c>
      <c r="D557" t="s">
        <v>14</v>
      </c>
      <c r="E557">
        <v>419.68400000000003</v>
      </c>
      <c r="F557">
        <v>26235.623</v>
      </c>
      <c r="G557">
        <v>6</v>
      </c>
      <c r="H557">
        <v>367222.16</v>
      </c>
      <c r="I557">
        <v>724</v>
      </c>
    </row>
    <row r="558" spans="1:9" x14ac:dyDescent="0.35">
      <c r="A558">
        <v>3549805</v>
      </c>
      <c r="B558" t="s">
        <v>581</v>
      </c>
      <c r="C558">
        <v>14</v>
      </c>
      <c r="D558" t="s">
        <v>12</v>
      </c>
      <c r="E558">
        <v>431.94400000000002</v>
      </c>
      <c r="F558">
        <v>62953.781999999999</v>
      </c>
      <c r="G558">
        <v>31</v>
      </c>
      <c r="H558">
        <v>549528.22100000002</v>
      </c>
      <c r="I558">
        <v>3355</v>
      </c>
    </row>
    <row r="559" spans="1:9" x14ac:dyDescent="0.35">
      <c r="A559">
        <v>3549904</v>
      </c>
      <c r="B559" t="s">
        <v>582</v>
      </c>
      <c r="C559">
        <v>15</v>
      </c>
      <c r="D559" t="s">
        <v>48</v>
      </c>
      <c r="E559">
        <v>1099.4090000000001</v>
      </c>
      <c r="F559">
        <v>100996.60400000001</v>
      </c>
      <c r="G559">
        <v>22</v>
      </c>
      <c r="H559">
        <v>1006091.955</v>
      </c>
      <c r="I559">
        <v>3419</v>
      </c>
    </row>
    <row r="560" spans="1:9" x14ac:dyDescent="0.35">
      <c r="A560">
        <v>3549953</v>
      </c>
      <c r="B560" t="s">
        <v>583</v>
      </c>
      <c r="C560">
        <v>10</v>
      </c>
      <c r="D560" t="s">
        <v>67</v>
      </c>
      <c r="E560">
        <v>186.45599999999999</v>
      </c>
      <c r="F560">
        <v>43207.072</v>
      </c>
      <c r="G560">
        <v>16</v>
      </c>
      <c r="H560">
        <v>185793.05100000001</v>
      </c>
      <c r="I560">
        <v>397</v>
      </c>
    </row>
    <row r="561" spans="1:9" x14ac:dyDescent="0.35">
      <c r="A561">
        <v>3550001</v>
      </c>
      <c r="B561" t="s">
        <v>584</v>
      </c>
      <c r="C561">
        <v>15</v>
      </c>
      <c r="D561" t="s">
        <v>48</v>
      </c>
      <c r="E561">
        <v>617.31500000000005</v>
      </c>
      <c r="F561">
        <v>11406.951999999999</v>
      </c>
      <c r="G561">
        <v>5</v>
      </c>
      <c r="H561">
        <v>393542.91899999999</v>
      </c>
      <c r="I561">
        <v>493</v>
      </c>
    </row>
    <row r="562" spans="1:9" x14ac:dyDescent="0.35">
      <c r="A562">
        <v>3550100</v>
      </c>
      <c r="B562" t="s">
        <v>585</v>
      </c>
      <c r="C562">
        <v>13</v>
      </c>
      <c r="D562" t="s">
        <v>18</v>
      </c>
      <c r="E562">
        <v>650.73400000000004</v>
      </c>
      <c r="F562">
        <v>56685.016000000003</v>
      </c>
      <c r="G562">
        <v>13</v>
      </c>
      <c r="H562">
        <v>333315.95799999998</v>
      </c>
      <c r="I562">
        <v>603</v>
      </c>
    </row>
    <row r="563" spans="1:9" x14ac:dyDescent="0.35">
      <c r="A563">
        <v>3550209</v>
      </c>
      <c r="B563" t="s">
        <v>586</v>
      </c>
      <c r="C563">
        <v>13</v>
      </c>
      <c r="D563" t="s">
        <v>18</v>
      </c>
      <c r="E563">
        <v>930.33900000000006</v>
      </c>
      <c r="F563">
        <v>67555.653999999995</v>
      </c>
      <c r="G563">
        <v>22</v>
      </c>
      <c r="H563">
        <v>768641.74399999995</v>
      </c>
      <c r="I563">
        <v>1248</v>
      </c>
    </row>
    <row r="564" spans="1:9" x14ac:dyDescent="0.35">
      <c r="A564">
        <v>3550308</v>
      </c>
      <c r="B564" t="s">
        <v>587</v>
      </c>
      <c r="C564">
        <v>10</v>
      </c>
      <c r="D564" t="s">
        <v>67</v>
      </c>
      <c r="E564">
        <v>1521.11</v>
      </c>
      <c r="F564">
        <v>122281.38400000001</v>
      </c>
      <c r="G564">
        <v>44</v>
      </c>
      <c r="H564">
        <v>877622.53099999996</v>
      </c>
      <c r="I564">
        <v>4566</v>
      </c>
    </row>
    <row r="565" spans="1:9" x14ac:dyDescent="0.35">
      <c r="A565">
        <v>3550407</v>
      </c>
      <c r="B565" t="s">
        <v>588</v>
      </c>
      <c r="C565">
        <v>4</v>
      </c>
      <c r="D565" t="s">
        <v>14</v>
      </c>
      <c r="E565">
        <v>611.27800000000002</v>
      </c>
      <c r="F565">
        <v>46492.023999999998</v>
      </c>
      <c r="G565">
        <v>7</v>
      </c>
      <c r="H565">
        <v>323123.76</v>
      </c>
      <c r="I565">
        <v>740</v>
      </c>
    </row>
    <row r="566" spans="1:9" x14ac:dyDescent="0.35">
      <c r="A566">
        <v>3550506</v>
      </c>
      <c r="B566" t="s">
        <v>589</v>
      </c>
      <c r="C566">
        <v>8</v>
      </c>
      <c r="D566" t="s">
        <v>34</v>
      </c>
      <c r="E566">
        <v>731.221</v>
      </c>
      <c r="F566">
        <v>75074.823000000004</v>
      </c>
      <c r="G566">
        <v>19</v>
      </c>
      <c r="H566">
        <v>490154.48599999998</v>
      </c>
      <c r="I566">
        <v>544</v>
      </c>
    </row>
    <row r="567" spans="1:9" x14ac:dyDescent="0.35">
      <c r="A567">
        <v>3550605</v>
      </c>
      <c r="B567" t="s">
        <v>590</v>
      </c>
      <c r="C567">
        <v>13</v>
      </c>
      <c r="D567" t="s">
        <v>18</v>
      </c>
      <c r="E567">
        <v>306.90800000000002</v>
      </c>
      <c r="F567">
        <v>81945.78</v>
      </c>
      <c r="G567">
        <v>34</v>
      </c>
      <c r="H567">
        <v>511302.36700000003</v>
      </c>
      <c r="I567">
        <v>1575</v>
      </c>
    </row>
    <row r="568" spans="1:9" x14ac:dyDescent="0.35">
      <c r="A568">
        <v>3550704</v>
      </c>
      <c r="B568" t="s">
        <v>591</v>
      </c>
      <c r="C568">
        <v>15</v>
      </c>
      <c r="D568" t="s">
        <v>48</v>
      </c>
      <c r="E568">
        <v>402.39499999999998</v>
      </c>
      <c r="F568">
        <v>5210.9309999999996</v>
      </c>
      <c r="G568">
        <v>3</v>
      </c>
      <c r="H568">
        <v>68752.055999999997</v>
      </c>
      <c r="I568">
        <v>288</v>
      </c>
    </row>
    <row r="569" spans="1:9" x14ac:dyDescent="0.35">
      <c r="A569">
        <v>3550803</v>
      </c>
      <c r="B569" t="s">
        <v>592</v>
      </c>
      <c r="C569">
        <v>4</v>
      </c>
      <c r="D569" t="s">
        <v>14</v>
      </c>
      <c r="E569">
        <v>252.41</v>
      </c>
      <c r="F569">
        <v>21246.452000000001</v>
      </c>
      <c r="G569">
        <v>4</v>
      </c>
      <c r="H569">
        <v>259345.005</v>
      </c>
      <c r="I569">
        <v>396</v>
      </c>
    </row>
    <row r="570" spans="1:9" x14ac:dyDescent="0.35">
      <c r="A570">
        <v>3550902</v>
      </c>
      <c r="B570" t="s">
        <v>593</v>
      </c>
      <c r="C570">
        <v>11</v>
      </c>
      <c r="D570" t="s">
        <v>27</v>
      </c>
      <c r="E570">
        <v>617.25199999999995</v>
      </c>
      <c r="F570">
        <v>30223.667000000001</v>
      </c>
      <c r="G570">
        <v>7</v>
      </c>
      <c r="H570">
        <v>173636.698</v>
      </c>
      <c r="I570">
        <v>316</v>
      </c>
    </row>
    <row r="571" spans="1:9" x14ac:dyDescent="0.35">
      <c r="A571">
        <v>3551009</v>
      </c>
      <c r="B571" t="s">
        <v>594</v>
      </c>
      <c r="C571">
        <v>12</v>
      </c>
      <c r="D571" t="s">
        <v>96</v>
      </c>
      <c r="E571">
        <v>148.1</v>
      </c>
      <c r="F571">
        <v>9926.9459999999999</v>
      </c>
      <c r="G571">
        <v>3</v>
      </c>
      <c r="H571">
        <v>47707.921000000002</v>
      </c>
      <c r="I571">
        <v>346</v>
      </c>
    </row>
    <row r="572" spans="1:9" x14ac:dyDescent="0.35">
      <c r="A572">
        <v>3551108</v>
      </c>
      <c r="B572" t="s">
        <v>595</v>
      </c>
      <c r="C572">
        <v>13</v>
      </c>
      <c r="D572" t="s">
        <v>18</v>
      </c>
      <c r="E572">
        <v>352.59199999999998</v>
      </c>
      <c r="F572">
        <v>38106.303999999996</v>
      </c>
      <c r="G572">
        <v>8</v>
      </c>
      <c r="H572">
        <v>327585.68900000001</v>
      </c>
      <c r="I572">
        <v>474</v>
      </c>
    </row>
    <row r="573" spans="1:9" x14ac:dyDescent="0.35">
      <c r="A573">
        <v>3551207</v>
      </c>
      <c r="B573" t="s">
        <v>596</v>
      </c>
      <c r="C573">
        <v>7</v>
      </c>
      <c r="D573" t="s">
        <v>44</v>
      </c>
      <c r="E573">
        <v>141.608</v>
      </c>
      <c r="F573">
        <v>6665.4459999999999</v>
      </c>
      <c r="G573">
        <v>4</v>
      </c>
      <c r="H573">
        <v>104998.6</v>
      </c>
      <c r="I573">
        <v>155</v>
      </c>
    </row>
    <row r="574" spans="1:9" x14ac:dyDescent="0.35">
      <c r="A574">
        <v>3551306</v>
      </c>
      <c r="B574" t="s">
        <v>597</v>
      </c>
      <c r="C574">
        <v>14</v>
      </c>
      <c r="D574" t="s">
        <v>12</v>
      </c>
      <c r="E574">
        <v>167.84800000000001</v>
      </c>
      <c r="F574">
        <v>17807.77</v>
      </c>
      <c r="G574">
        <v>4</v>
      </c>
      <c r="H574">
        <v>117770.68700000001</v>
      </c>
      <c r="I574">
        <v>189</v>
      </c>
    </row>
    <row r="575" spans="1:9" x14ac:dyDescent="0.35">
      <c r="A575">
        <v>3551405</v>
      </c>
      <c r="B575" t="s">
        <v>598</v>
      </c>
      <c r="C575">
        <v>11</v>
      </c>
      <c r="D575" t="s">
        <v>27</v>
      </c>
      <c r="E575">
        <v>283.14400000000001</v>
      </c>
      <c r="F575">
        <v>42201.985999999997</v>
      </c>
      <c r="G575">
        <v>10</v>
      </c>
      <c r="H575">
        <v>122370.897</v>
      </c>
      <c r="I575">
        <v>258</v>
      </c>
    </row>
    <row r="576" spans="1:9" x14ac:dyDescent="0.35">
      <c r="A576">
        <v>3551504</v>
      </c>
      <c r="B576" t="s">
        <v>599</v>
      </c>
      <c r="C576">
        <v>11</v>
      </c>
      <c r="D576" t="s">
        <v>27</v>
      </c>
      <c r="E576">
        <v>126.04600000000001</v>
      </c>
      <c r="F576">
        <v>6038.4750000000004</v>
      </c>
      <c r="G576">
        <v>3</v>
      </c>
      <c r="H576">
        <v>75528.403000000006</v>
      </c>
      <c r="I576">
        <v>295</v>
      </c>
    </row>
    <row r="577" spans="1:9" x14ac:dyDescent="0.35">
      <c r="A577">
        <v>3551603</v>
      </c>
      <c r="B577" t="s">
        <v>600</v>
      </c>
      <c r="C577">
        <v>4</v>
      </c>
      <c r="D577" t="s">
        <v>14</v>
      </c>
      <c r="E577">
        <v>203.73599999999999</v>
      </c>
      <c r="F577">
        <v>63109.718000000001</v>
      </c>
      <c r="G577">
        <v>22</v>
      </c>
      <c r="H577">
        <v>254338.04800000001</v>
      </c>
      <c r="I577">
        <v>669</v>
      </c>
    </row>
    <row r="578" spans="1:9" x14ac:dyDescent="0.35">
      <c r="A578">
        <v>3551702</v>
      </c>
      <c r="B578" t="s">
        <v>601</v>
      </c>
      <c r="C578">
        <v>11</v>
      </c>
      <c r="D578" t="s">
        <v>27</v>
      </c>
      <c r="E578">
        <v>403.089</v>
      </c>
      <c r="F578">
        <v>88404.879000000001</v>
      </c>
      <c r="G578">
        <v>33</v>
      </c>
      <c r="H578">
        <v>348911.94300000003</v>
      </c>
      <c r="I578">
        <v>1440</v>
      </c>
    </row>
    <row r="579" spans="1:9" x14ac:dyDescent="0.35">
      <c r="A579">
        <v>3551801</v>
      </c>
      <c r="B579" t="s">
        <v>602</v>
      </c>
      <c r="C579">
        <v>16</v>
      </c>
      <c r="D579" t="s">
        <v>85</v>
      </c>
      <c r="E579">
        <v>1062.6990000000001</v>
      </c>
      <c r="F579">
        <v>24944.212</v>
      </c>
      <c r="G579">
        <v>5</v>
      </c>
      <c r="H579">
        <v>302574.51400000002</v>
      </c>
      <c r="I579">
        <v>371</v>
      </c>
    </row>
    <row r="580" spans="1:9" x14ac:dyDescent="0.35">
      <c r="A580">
        <v>3551900</v>
      </c>
      <c r="B580" t="s">
        <v>603</v>
      </c>
      <c r="C580">
        <v>2</v>
      </c>
      <c r="D580" t="s">
        <v>25</v>
      </c>
      <c r="E580">
        <v>140.46</v>
      </c>
      <c r="F580">
        <v>14082.094999999999</v>
      </c>
      <c r="G580">
        <v>12</v>
      </c>
      <c r="H580">
        <v>123698.611</v>
      </c>
      <c r="I580">
        <v>394</v>
      </c>
    </row>
    <row r="581" spans="1:9" x14ac:dyDescent="0.35">
      <c r="A581">
        <v>3552007</v>
      </c>
      <c r="B581" t="s">
        <v>604</v>
      </c>
      <c r="C581">
        <v>15</v>
      </c>
      <c r="D581" t="s">
        <v>48</v>
      </c>
      <c r="E581">
        <v>414.78199999999998</v>
      </c>
      <c r="F581">
        <v>49201.087</v>
      </c>
      <c r="G581">
        <v>16</v>
      </c>
      <c r="H581">
        <v>301580.72200000001</v>
      </c>
      <c r="I581">
        <v>311</v>
      </c>
    </row>
    <row r="582" spans="1:9" x14ac:dyDescent="0.35">
      <c r="A582">
        <v>3552106</v>
      </c>
      <c r="B582" t="s">
        <v>605</v>
      </c>
      <c r="C582">
        <v>4</v>
      </c>
      <c r="D582" t="s">
        <v>14</v>
      </c>
      <c r="E582">
        <v>449.029</v>
      </c>
      <c r="F582">
        <v>82759.3</v>
      </c>
      <c r="G582">
        <v>15</v>
      </c>
      <c r="H582">
        <v>572852.15800000005</v>
      </c>
      <c r="I582">
        <v>1071</v>
      </c>
    </row>
    <row r="583" spans="1:9" x14ac:dyDescent="0.35">
      <c r="A583">
        <v>3552205</v>
      </c>
      <c r="B583" t="s">
        <v>606</v>
      </c>
      <c r="C583">
        <v>13</v>
      </c>
      <c r="D583" t="s">
        <v>18</v>
      </c>
      <c r="E583">
        <v>450.38200000000001</v>
      </c>
      <c r="F583">
        <v>28246.76</v>
      </c>
      <c r="G583">
        <v>19</v>
      </c>
      <c r="H583">
        <v>490476.69300000003</v>
      </c>
      <c r="I583">
        <v>2528</v>
      </c>
    </row>
    <row r="584" spans="1:9" x14ac:dyDescent="0.35">
      <c r="A584">
        <v>3552304</v>
      </c>
      <c r="B584" t="s">
        <v>607</v>
      </c>
      <c r="C584">
        <v>1</v>
      </c>
      <c r="D584" t="s">
        <v>29</v>
      </c>
      <c r="E584">
        <v>594.74400000000003</v>
      </c>
      <c r="F584">
        <v>31889.444</v>
      </c>
      <c r="G584">
        <v>12</v>
      </c>
      <c r="H584">
        <v>153140.5</v>
      </c>
      <c r="I584">
        <v>195</v>
      </c>
    </row>
    <row r="585" spans="1:9" x14ac:dyDescent="0.35">
      <c r="A585">
        <v>3552403</v>
      </c>
      <c r="B585" t="s">
        <v>608</v>
      </c>
      <c r="C585">
        <v>4</v>
      </c>
      <c r="D585" t="s">
        <v>14</v>
      </c>
      <c r="E585">
        <v>153.465</v>
      </c>
      <c r="F585">
        <v>34671.355000000003</v>
      </c>
      <c r="G585">
        <v>18</v>
      </c>
      <c r="H585">
        <v>126318.424</v>
      </c>
      <c r="I585">
        <v>883</v>
      </c>
    </row>
    <row r="586" spans="1:9" x14ac:dyDescent="0.35">
      <c r="A586">
        <v>3552502</v>
      </c>
      <c r="B586" t="s">
        <v>609</v>
      </c>
      <c r="C586">
        <v>10</v>
      </c>
      <c r="D586" t="s">
        <v>67</v>
      </c>
      <c r="E586">
        <v>206.23599999999999</v>
      </c>
      <c r="F586">
        <v>83978.645999999993</v>
      </c>
      <c r="G586">
        <v>42</v>
      </c>
      <c r="H586">
        <v>246658.93700000001</v>
      </c>
      <c r="I586">
        <v>1093</v>
      </c>
    </row>
    <row r="587" spans="1:9" x14ac:dyDescent="0.35">
      <c r="A587">
        <v>3552551</v>
      </c>
      <c r="B587" t="s">
        <v>610</v>
      </c>
      <c r="C587">
        <v>1</v>
      </c>
      <c r="D587" t="s">
        <v>29</v>
      </c>
      <c r="E587">
        <v>330.58699999999999</v>
      </c>
      <c r="F587">
        <v>54674.144999999997</v>
      </c>
      <c r="G587">
        <v>12</v>
      </c>
      <c r="H587">
        <v>174373.29500000001</v>
      </c>
      <c r="I587">
        <v>200</v>
      </c>
    </row>
    <row r="588" spans="1:9" x14ac:dyDescent="0.35">
      <c r="A588">
        <v>3552601</v>
      </c>
      <c r="B588" t="s">
        <v>611</v>
      </c>
      <c r="C588">
        <v>14</v>
      </c>
      <c r="D588" t="s">
        <v>12</v>
      </c>
      <c r="E588">
        <v>345.79199999999997</v>
      </c>
      <c r="F588">
        <v>50896.908000000003</v>
      </c>
      <c r="G588">
        <v>11</v>
      </c>
      <c r="H588">
        <v>275450.19900000002</v>
      </c>
      <c r="I588">
        <v>450</v>
      </c>
    </row>
    <row r="589" spans="1:9" x14ac:dyDescent="0.35">
      <c r="A589">
        <v>3552700</v>
      </c>
      <c r="B589" t="s">
        <v>612</v>
      </c>
      <c r="C589">
        <v>5</v>
      </c>
      <c r="D589" t="s">
        <v>38</v>
      </c>
      <c r="E589">
        <v>368.60399999999998</v>
      </c>
      <c r="F589">
        <v>62626.38</v>
      </c>
      <c r="G589">
        <v>13</v>
      </c>
      <c r="H589">
        <v>288535.103</v>
      </c>
      <c r="I589">
        <v>480</v>
      </c>
    </row>
    <row r="590" spans="1:9" x14ac:dyDescent="0.35">
      <c r="A590">
        <v>3552809</v>
      </c>
      <c r="B590" t="s">
        <v>613</v>
      </c>
      <c r="C590">
        <v>10</v>
      </c>
      <c r="D590" t="s">
        <v>67</v>
      </c>
      <c r="E590">
        <v>20.388000000000002</v>
      </c>
      <c r="H590">
        <v>3493.7449999999999</v>
      </c>
      <c r="I590">
        <v>37</v>
      </c>
    </row>
    <row r="591" spans="1:9" x14ac:dyDescent="0.35">
      <c r="A591">
        <v>3552908</v>
      </c>
      <c r="B591" t="s">
        <v>614</v>
      </c>
      <c r="C591">
        <v>9</v>
      </c>
      <c r="D591" t="s">
        <v>10</v>
      </c>
      <c r="E591">
        <v>607.26599999999996</v>
      </c>
      <c r="F591">
        <v>38893.156000000003</v>
      </c>
      <c r="G591">
        <v>7</v>
      </c>
      <c r="H591">
        <v>249594.31599999999</v>
      </c>
      <c r="I591">
        <v>289</v>
      </c>
    </row>
    <row r="592" spans="1:9" x14ac:dyDescent="0.35">
      <c r="A592">
        <v>3553005</v>
      </c>
      <c r="B592" t="s">
        <v>615</v>
      </c>
      <c r="C592">
        <v>7</v>
      </c>
      <c r="D592" t="s">
        <v>44</v>
      </c>
      <c r="E592">
        <v>145.33199999999999</v>
      </c>
      <c r="F592">
        <v>21102.816999999999</v>
      </c>
      <c r="G592">
        <v>6</v>
      </c>
      <c r="H592">
        <v>86655.976999999999</v>
      </c>
      <c r="I592">
        <v>172</v>
      </c>
    </row>
    <row r="593" spans="1:9" x14ac:dyDescent="0.35">
      <c r="A593">
        <v>3553104</v>
      </c>
      <c r="B593" t="s">
        <v>616</v>
      </c>
      <c r="C593">
        <v>2</v>
      </c>
      <c r="D593" t="s">
        <v>25</v>
      </c>
      <c r="E593">
        <v>107.059</v>
      </c>
      <c r="F593">
        <v>34986.542999999998</v>
      </c>
      <c r="G593">
        <v>13</v>
      </c>
      <c r="H593">
        <v>98975.474000000002</v>
      </c>
      <c r="I593">
        <v>159</v>
      </c>
    </row>
    <row r="594" spans="1:9" x14ac:dyDescent="0.35">
      <c r="A594">
        <v>3553203</v>
      </c>
      <c r="B594" t="s">
        <v>617</v>
      </c>
      <c r="C594">
        <v>2</v>
      </c>
      <c r="D594" t="s">
        <v>25</v>
      </c>
      <c r="E594">
        <v>132.459</v>
      </c>
      <c r="F594">
        <v>16541.321</v>
      </c>
      <c r="G594">
        <v>8</v>
      </c>
      <c r="H594">
        <v>97138.930999999997</v>
      </c>
      <c r="I594">
        <v>146</v>
      </c>
    </row>
    <row r="595" spans="1:9" x14ac:dyDescent="0.35">
      <c r="A595">
        <v>3553302</v>
      </c>
      <c r="B595" t="s">
        <v>618</v>
      </c>
      <c r="C595">
        <v>4</v>
      </c>
      <c r="D595" t="s">
        <v>14</v>
      </c>
      <c r="E595">
        <v>561.78800000000001</v>
      </c>
      <c r="F595">
        <v>48079.040999999997</v>
      </c>
      <c r="G595">
        <v>6</v>
      </c>
      <c r="H595">
        <v>284767.554</v>
      </c>
      <c r="I595">
        <v>431</v>
      </c>
    </row>
    <row r="596" spans="1:9" x14ac:dyDescent="0.35">
      <c r="A596">
        <v>3553401</v>
      </c>
      <c r="B596" t="s">
        <v>619</v>
      </c>
      <c r="C596">
        <v>14</v>
      </c>
      <c r="D596" t="s">
        <v>12</v>
      </c>
      <c r="E596">
        <v>747.21799999999996</v>
      </c>
      <c r="F596">
        <v>58441.408000000003</v>
      </c>
      <c r="G596">
        <v>6</v>
      </c>
      <c r="H596">
        <v>520861.86599999998</v>
      </c>
      <c r="I596">
        <v>853</v>
      </c>
    </row>
    <row r="597" spans="1:9" x14ac:dyDescent="0.35">
      <c r="A597">
        <v>3553500</v>
      </c>
      <c r="B597" t="s">
        <v>620</v>
      </c>
      <c r="C597">
        <v>13</v>
      </c>
      <c r="D597" t="s">
        <v>18</v>
      </c>
      <c r="E597">
        <v>755.1</v>
      </c>
      <c r="F597">
        <v>24931.776000000002</v>
      </c>
      <c r="G597">
        <v>7</v>
      </c>
      <c r="H597">
        <v>304767.62</v>
      </c>
      <c r="I597">
        <v>326</v>
      </c>
    </row>
    <row r="598" spans="1:9" x14ac:dyDescent="0.35">
      <c r="A598">
        <v>3553609</v>
      </c>
      <c r="B598" t="s">
        <v>621</v>
      </c>
      <c r="C598">
        <v>4</v>
      </c>
      <c r="D598" t="s">
        <v>14</v>
      </c>
      <c r="E598">
        <v>221.89099999999999</v>
      </c>
      <c r="F598">
        <v>20595.327000000001</v>
      </c>
      <c r="G598">
        <v>7</v>
      </c>
      <c r="H598">
        <v>139981.14300000001</v>
      </c>
      <c r="I598">
        <v>285</v>
      </c>
    </row>
    <row r="599" spans="1:9" x14ac:dyDescent="0.35">
      <c r="A599">
        <v>3553658</v>
      </c>
      <c r="B599" t="s">
        <v>622</v>
      </c>
      <c r="C599">
        <v>11</v>
      </c>
      <c r="D599" t="s">
        <v>27</v>
      </c>
      <c r="E599">
        <v>53.892000000000003</v>
      </c>
      <c r="F599">
        <v>368.899</v>
      </c>
      <c r="G599">
        <v>1</v>
      </c>
      <c r="H599">
        <v>22718.858</v>
      </c>
      <c r="I599">
        <v>63</v>
      </c>
    </row>
    <row r="600" spans="1:9" x14ac:dyDescent="0.35">
      <c r="A600">
        <v>3553708</v>
      </c>
      <c r="B600" t="s">
        <v>623</v>
      </c>
      <c r="C600">
        <v>5</v>
      </c>
      <c r="D600" t="s">
        <v>38</v>
      </c>
      <c r="E600">
        <v>594.33500000000004</v>
      </c>
      <c r="F600">
        <v>73036.02</v>
      </c>
      <c r="G600">
        <v>21</v>
      </c>
      <c r="H600">
        <v>411524.11499999999</v>
      </c>
      <c r="I600">
        <v>820</v>
      </c>
    </row>
    <row r="601" spans="1:9" x14ac:dyDescent="0.35">
      <c r="A601">
        <v>3553807</v>
      </c>
      <c r="B601" t="s">
        <v>624</v>
      </c>
      <c r="C601">
        <v>7</v>
      </c>
      <c r="D601" t="s">
        <v>44</v>
      </c>
      <c r="E601">
        <v>448.51499999999999</v>
      </c>
      <c r="F601">
        <v>27527.012999999999</v>
      </c>
      <c r="G601">
        <v>6</v>
      </c>
      <c r="H601">
        <v>361868.86700000003</v>
      </c>
      <c r="I601">
        <v>456</v>
      </c>
    </row>
    <row r="602" spans="1:9" x14ac:dyDescent="0.35">
      <c r="A602">
        <v>3553856</v>
      </c>
      <c r="B602" t="s">
        <v>625</v>
      </c>
      <c r="C602">
        <v>7</v>
      </c>
      <c r="D602" t="s">
        <v>44</v>
      </c>
      <c r="E602">
        <v>231.792</v>
      </c>
      <c r="F602">
        <v>13104.538</v>
      </c>
      <c r="G602">
        <v>7</v>
      </c>
      <c r="H602">
        <v>130199.094</v>
      </c>
      <c r="I602">
        <v>227</v>
      </c>
    </row>
    <row r="603" spans="1:9" x14ac:dyDescent="0.35">
      <c r="A603">
        <v>3553906</v>
      </c>
      <c r="B603" t="s">
        <v>626</v>
      </c>
      <c r="C603">
        <v>9</v>
      </c>
      <c r="D603" t="s">
        <v>10</v>
      </c>
      <c r="E603">
        <v>201.38499999999999</v>
      </c>
      <c r="F603">
        <v>19033.815999999999</v>
      </c>
      <c r="G603">
        <v>5</v>
      </c>
      <c r="H603">
        <v>51579.072999999997</v>
      </c>
      <c r="I603">
        <v>87</v>
      </c>
    </row>
    <row r="604" spans="1:9" x14ac:dyDescent="0.35">
      <c r="A604">
        <v>3553955</v>
      </c>
      <c r="B604" t="s">
        <v>627</v>
      </c>
      <c r="C604">
        <v>8</v>
      </c>
      <c r="D604" t="s">
        <v>34</v>
      </c>
      <c r="E604">
        <v>302.91300000000001</v>
      </c>
      <c r="F604">
        <v>26190.107</v>
      </c>
      <c r="G604">
        <v>10</v>
      </c>
      <c r="H604">
        <v>166615.13</v>
      </c>
      <c r="I604">
        <v>367</v>
      </c>
    </row>
    <row r="605" spans="1:9" x14ac:dyDescent="0.35">
      <c r="A605">
        <v>3554003</v>
      </c>
      <c r="B605" t="s">
        <v>628</v>
      </c>
      <c r="C605">
        <v>13</v>
      </c>
      <c r="D605" t="s">
        <v>18</v>
      </c>
      <c r="E605">
        <v>523.74900000000002</v>
      </c>
      <c r="F605">
        <v>72904.665999999997</v>
      </c>
      <c r="G605">
        <v>25</v>
      </c>
      <c r="H605">
        <v>417037.90700000001</v>
      </c>
      <c r="I605">
        <v>1090</v>
      </c>
    </row>
    <row r="606" spans="1:9" x14ac:dyDescent="0.35">
      <c r="A606">
        <v>3554102</v>
      </c>
      <c r="B606" t="s">
        <v>629</v>
      </c>
      <c r="C606">
        <v>15</v>
      </c>
      <c r="D606" t="s">
        <v>48</v>
      </c>
      <c r="E606">
        <v>625.00300000000004</v>
      </c>
      <c r="F606">
        <v>78295.782999999996</v>
      </c>
      <c r="G606">
        <v>15</v>
      </c>
      <c r="H606">
        <v>411415.39</v>
      </c>
      <c r="I606">
        <v>1272</v>
      </c>
    </row>
    <row r="607" spans="1:9" x14ac:dyDescent="0.35">
      <c r="A607">
        <v>3554201</v>
      </c>
      <c r="B607" t="s">
        <v>630</v>
      </c>
      <c r="C607">
        <v>7</v>
      </c>
      <c r="D607" t="s">
        <v>44</v>
      </c>
      <c r="E607">
        <v>296.18900000000002</v>
      </c>
      <c r="F607">
        <v>26734.755000000001</v>
      </c>
      <c r="G607">
        <v>11</v>
      </c>
      <c r="H607">
        <v>149294.00899999999</v>
      </c>
      <c r="I607">
        <v>181</v>
      </c>
    </row>
    <row r="608" spans="1:9" x14ac:dyDescent="0.35">
      <c r="A608">
        <v>3554300</v>
      </c>
      <c r="B608" t="s">
        <v>631</v>
      </c>
      <c r="C608">
        <v>9</v>
      </c>
      <c r="D608" t="s">
        <v>10</v>
      </c>
      <c r="E608">
        <v>1555.8030000000001</v>
      </c>
      <c r="F608">
        <v>142776.19699999999</v>
      </c>
      <c r="G608">
        <v>22</v>
      </c>
      <c r="H608">
        <v>461027.16899999999</v>
      </c>
      <c r="I608">
        <v>412</v>
      </c>
    </row>
    <row r="609" spans="1:9" x14ac:dyDescent="0.35">
      <c r="A609">
        <v>3554409</v>
      </c>
      <c r="B609" t="s">
        <v>632</v>
      </c>
      <c r="C609">
        <v>2</v>
      </c>
      <c r="D609" t="s">
        <v>25</v>
      </c>
      <c r="E609">
        <v>221.541</v>
      </c>
      <c r="F609">
        <v>30779.787</v>
      </c>
      <c r="G609">
        <v>8</v>
      </c>
      <c r="H609">
        <v>102074.78599999999</v>
      </c>
      <c r="I609">
        <v>145</v>
      </c>
    </row>
    <row r="610" spans="1:9" x14ac:dyDescent="0.35">
      <c r="A610">
        <v>3554508</v>
      </c>
      <c r="B610" t="s">
        <v>633</v>
      </c>
      <c r="C610">
        <v>13</v>
      </c>
      <c r="D610" t="s">
        <v>18</v>
      </c>
      <c r="E610">
        <v>404.39600000000002</v>
      </c>
      <c r="F610">
        <v>51478.425999999999</v>
      </c>
      <c r="G610">
        <v>19</v>
      </c>
      <c r="H610">
        <v>217640.649</v>
      </c>
      <c r="I610">
        <v>675</v>
      </c>
    </row>
    <row r="611" spans="1:9" x14ac:dyDescent="0.35">
      <c r="A611">
        <v>3554607</v>
      </c>
      <c r="B611" t="s">
        <v>634</v>
      </c>
      <c r="C611">
        <v>8</v>
      </c>
      <c r="D611" t="s">
        <v>34</v>
      </c>
      <c r="E611">
        <v>196.79</v>
      </c>
      <c r="F611">
        <v>13730.621999999999</v>
      </c>
      <c r="G611">
        <v>6</v>
      </c>
      <c r="H611">
        <v>80306.346000000005</v>
      </c>
      <c r="I611">
        <v>130</v>
      </c>
    </row>
    <row r="612" spans="1:9" x14ac:dyDescent="0.35">
      <c r="A612">
        <v>3554656</v>
      </c>
      <c r="B612" t="s">
        <v>635</v>
      </c>
      <c r="C612">
        <v>13</v>
      </c>
      <c r="D612" t="s">
        <v>18</v>
      </c>
      <c r="E612">
        <v>71.347999999999999</v>
      </c>
      <c r="F612">
        <v>6608.0249999999996</v>
      </c>
      <c r="G612">
        <v>4</v>
      </c>
      <c r="H612">
        <v>62779.41</v>
      </c>
      <c r="I612">
        <v>115</v>
      </c>
    </row>
    <row r="613" spans="1:9" x14ac:dyDescent="0.35">
      <c r="A613">
        <v>3554706</v>
      </c>
      <c r="B613" t="s">
        <v>636</v>
      </c>
      <c r="C613">
        <v>4</v>
      </c>
      <c r="D613" t="s">
        <v>14</v>
      </c>
      <c r="E613">
        <v>315.26600000000002</v>
      </c>
      <c r="F613">
        <v>16963.761999999999</v>
      </c>
      <c r="G613">
        <v>2</v>
      </c>
      <c r="H613">
        <v>240395.48300000001</v>
      </c>
      <c r="I613">
        <v>365</v>
      </c>
    </row>
    <row r="614" spans="1:9" x14ac:dyDescent="0.35">
      <c r="A614">
        <v>3554755</v>
      </c>
      <c r="B614" t="s">
        <v>637</v>
      </c>
      <c r="C614">
        <v>5</v>
      </c>
      <c r="D614" t="s">
        <v>38</v>
      </c>
      <c r="E614">
        <v>63.420999999999999</v>
      </c>
      <c r="F614">
        <v>9413.6849999999995</v>
      </c>
      <c r="G614">
        <v>4</v>
      </c>
      <c r="H614">
        <v>33562</v>
      </c>
      <c r="I614">
        <v>98</v>
      </c>
    </row>
    <row r="615" spans="1:9" x14ac:dyDescent="0.35">
      <c r="A615">
        <v>3554805</v>
      </c>
      <c r="B615" t="s">
        <v>638</v>
      </c>
      <c r="C615">
        <v>15</v>
      </c>
      <c r="D615" t="s">
        <v>48</v>
      </c>
      <c r="E615">
        <v>191.09399999999999</v>
      </c>
      <c r="F615">
        <v>30865.025000000001</v>
      </c>
      <c r="G615">
        <v>10</v>
      </c>
      <c r="H615">
        <v>156747.693</v>
      </c>
      <c r="I615">
        <v>421</v>
      </c>
    </row>
    <row r="616" spans="1:9" x14ac:dyDescent="0.35">
      <c r="A616">
        <v>3554904</v>
      </c>
      <c r="B616" t="s">
        <v>639</v>
      </c>
      <c r="C616">
        <v>14</v>
      </c>
      <c r="D616" t="s">
        <v>12</v>
      </c>
      <c r="E616">
        <v>151.59399999999999</v>
      </c>
      <c r="F616">
        <v>23607.793000000001</v>
      </c>
      <c r="G616">
        <v>8</v>
      </c>
      <c r="H616">
        <v>91129.366999999998</v>
      </c>
      <c r="I616">
        <v>204</v>
      </c>
    </row>
    <row r="617" spans="1:9" x14ac:dyDescent="0.35">
      <c r="A617">
        <v>3554953</v>
      </c>
      <c r="B617" t="s">
        <v>640</v>
      </c>
      <c r="C617">
        <v>4</v>
      </c>
      <c r="D617" t="s">
        <v>14</v>
      </c>
      <c r="E617">
        <v>126.73099999999999</v>
      </c>
      <c r="F617">
        <v>42390.095000000001</v>
      </c>
      <c r="G617">
        <v>16</v>
      </c>
      <c r="H617">
        <v>199577.56599999999</v>
      </c>
      <c r="I617">
        <v>375</v>
      </c>
    </row>
    <row r="618" spans="1:9" x14ac:dyDescent="0.35">
      <c r="A618">
        <v>3555000</v>
      </c>
      <c r="B618" t="s">
        <v>641</v>
      </c>
      <c r="C618">
        <v>8</v>
      </c>
      <c r="D618" t="s">
        <v>34</v>
      </c>
      <c r="E618">
        <v>627.98599999999999</v>
      </c>
      <c r="F618">
        <v>128347.45</v>
      </c>
      <c r="G618">
        <v>39</v>
      </c>
      <c r="H618">
        <v>510690.13900000002</v>
      </c>
      <c r="I618">
        <v>808</v>
      </c>
    </row>
    <row r="619" spans="1:9" x14ac:dyDescent="0.35">
      <c r="A619">
        <v>3555109</v>
      </c>
      <c r="B619" t="s">
        <v>642</v>
      </c>
      <c r="C619">
        <v>9</v>
      </c>
      <c r="D619" t="s">
        <v>10</v>
      </c>
      <c r="E619">
        <v>244.77</v>
      </c>
      <c r="F619">
        <v>38746.930999999997</v>
      </c>
      <c r="G619">
        <v>9</v>
      </c>
      <c r="H619">
        <v>193790.943</v>
      </c>
      <c r="I619">
        <v>258</v>
      </c>
    </row>
    <row r="620" spans="1:9" x14ac:dyDescent="0.35">
      <c r="A620">
        <v>3555208</v>
      </c>
      <c r="B620" t="s">
        <v>643</v>
      </c>
      <c r="C620">
        <v>1</v>
      </c>
      <c r="D620" t="s">
        <v>29</v>
      </c>
      <c r="E620">
        <v>153.23500000000001</v>
      </c>
      <c r="F620">
        <v>33620.665000000001</v>
      </c>
      <c r="G620">
        <v>11</v>
      </c>
      <c r="H620">
        <v>126381.378</v>
      </c>
      <c r="I620">
        <v>199</v>
      </c>
    </row>
    <row r="621" spans="1:9" x14ac:dyDescent="0.35">
      <c r="A621">
        <v>3555307</v>
      </c>
      <c r="B621" t="s">
        <v>644</v>
      </c>
      <c r="C621">
        <v>14</v>
      </c>
      <c r="D621" t="s">
        <v>12</v>
      </c>
      <c r="E621">
        <v>147.797</v>
      </c>
      <c r="F621">
        <v>14721.953</v>
      </c>
      <c r="G621">
        <v>6</v>
      </c>
      <c r="H621">
        <v>87776.324999999997</v>
      </c>
      <c r="I621">
        <v>119</v>
      </c>
    </row>
    <row r="622" spans="1:9" x14ac:dyDescent="0.35">
      <c r="A622">
        <v>3555356</v>
      </c>
      <c r="B622" t="s">
        <v>645</v>
      </c>
      <c r="C622">
        <v>14</v>
      </c>
      <c r="D622" t="s">
        <v>12</v>
      </c>
      <c r="E622">
        <v>209.86099999999999</v>
      </c>
      <c r="F622">
        <v>9651.7759999999998</v>
      </c>
      <c r="G622">
        <v>3</v>
      </c>
      <c r="H622">
        <v>66583.281000000003</v>
      </c>
      <c r="I622">
        <v>87</v>
      </c>
    </row>
    <row r="623" spans="1:9" x14ac:dyDescent="0.35">
      <c r="A623">
        <v>3555406</v>
      </c>
      <c r="B623" t="s">
        <v>646</v>
      </c>
      <c r="C623">
        <v>15</v>
      </c>
      <c r="D623" t="s">
        <v>48</v>
      </c>
      <c r="E623">
        <v>708.10500000000002</v>
      </c>
      <c r="F623">
        <v>29799.098999999998</v>
      </c>
      <c r="G623">
        <v>7</v>
      </c>
      <c r="H623">
        <v>140496.83799999999</v>
      </c>
      <c r="I623">
        <v>502</v>
      </c>
    </row>
    <row r="624" spans="1:9" x14ac:dyDescent="0.35">
      <c r="A624">
        <v>3555505</v>
      </c>
      <c r="B624" t="s">
        <v>647</v>
      </c>
      <c r="C624">
        <v>3</v>
      </c>
      <c r="D624" t="s">
        <v>21</v>
      </c>
      <c r="E624">
        <v>282.17899999999997</v>
      </c>
      <c r="F624">
        <v>33921.366999999998</v>
      </c>
      <c r="G624">
        <v>6</v>
      </c>
      <c r="H624">
        <v>207737.83300000001</v>
      </c>
      <c r="I624">
        <v>278</v>
      </c>
    </row>
    <row r="625" spans="1:9" x14ac:dyDescent="0.35">
      <c r="A625">
        <v>3555604</v>
      </c>
      <c r="B625" t="s">
        <v>648</v>
      </c>
      <c r="C625">
        <v>14</v>
      </c>
      <c r="D625" t="s">
        <v>12</v>
      </c>
      <c r="E625">
        <v>252.434</v>
      </c>
      <c r="F625">
        <v>35535.063999999998</v>
      </c>
      <c r="G625">
        <v>3</v>
      </c>
      <c r="H625">
        <v>182921.73</v>
      </c>
      <c r="I625">
        <v>271</v>
      </c>
    </row>
    <row r="626" spans="1:9" x14ac:dyDescent="0.35">
      <c r="A626">
        <v>3555703</v>
      </c>
      <c r="B626" t="s">
        <v>649</v>
      </c>
      <c r="C626">
        <v>14</v>
      </c>
      <c r="D626" t="s">
        <v>12</v>
      </c>
      <c r="E626">
        <v>79.055999999999997</v>
      </c>
      <c r="F626">
        <v>9408.3649999999998</v>
      </c>
      <c r="G626">
        <v>3</v>
      </c>
      <c r="H626">
        <v>74524.585999999996</v>
      </c>
      <c r="I626">
        <v>90</v>
      </c>
    </row>
    <row r="627" spans="1:9" x14ac:dyDescent="0.35">
      <c r="A627">
        <v>3555802</v>
      </c>
      <c r="B627" t="s">
        <v>650</v>
      </c>
      <c r="C627">
        <v>14</v>
      </c>
      <c r="D627" t="s">
        <v>12</v>
      </c>
      <c r="E627">
        <v>209.262</v>
      </c>
      <c r="F627">
        <v>12333.936</v>
      </c>
      <c r="G627">
        <v>3</v>
      </c>
      <c r="H627">
        <v>135622.99</v>
      </c>
      <c r="I627">
        <v>168</v>
      </c>
    </row>
    <row r="628" spans="1:9" x14ac:dyDescent="0.35">
      <c r="A628">
        <v>3555901</v>
      </c>
      <c r="B628" t="s">
        <v>651</v>
      </c>
      <c r="C628">
        <v>3</v>
      </c>
      <c r="D628" t="s">
        <v>21</v>
      </c>
      <c r="E628">
        <v>146.90100000000001</v>
      </c>
      <c r="F628">
        <v>21413.592000000001</v>
      </c>
      <c r="G628">
        <v>8</v>
      </c>
      <c r="H628">
        <v>75772.937000000005</v>
      </c>
      <c r="I628">
        <v>108</v>
      </c>
    </row>
    <row r="629" spans="1:9" x14ac:dyDescent="0.35">
      <c r="A629">
        <v>3556008</v>
      </c>
      <c r="B629" t="s">
        <v>652</v>
      </c>
      <c r="C629">
        <v>14</v>
      </c>
      <c r="D629" t="s">
        <v>12</v>
      </c>
      <c r="E629">
        <v>323.916</v>
      </c>
      <c r="F629">
        <v>43543.061000000002</v>
      </c>
      <c r="G629">
        <v>9</v>
      </c>
      <c r="H629">
        <v>286802.228</v>
      </c>
      <c r="I629">
        <v>407</v>
      </c>
    </row>
    <row r="630" spans="1:9" x14ac:dyDescent="0.35">
      <c r="A630">
        <v>3556107</v>
      </c>
      <c r="B630" t="s">
        <v>653</v>
      </c>
      <c r="C630">
        <v>14</v>
      </c>
      <c r="D630" t="s">
        <v>12</v>
      </c>
      <c r="E630">
        <v>149.74100000000001</v>
      </c>
      <c r="F630">
        <v>36754.614000000001</v>
      </c>
      <c r="G630">
        <v>15</v>
      </c>
      <c r="H630">
        <v>115718.836</v>
      </c>
      <c r="I630">
        <v>312</v>
      </c>
    </row>
    <row r="631" spans="1:9" x14ac:dyDescent="0.35">
      <c r="A631">
        <v>3556206</v>
      </c>
      <c r="B631" t="s">
        <v>654</v>
      </c>
      <c r="C631">
        <v>4</v>
      </c>
      <c r="D631" t="s">
        <v>14</v>
      </c>
      <c r="E631">
        <v>148.53800000000001</v>
      </c>
      <c r="F631">
        <v>42579.756000000001</v>
      </c>
      <c r="G631">
        <v>30</v>
      </c>
      <c r="H631">
        <v>180659.63200000001</v>
      </c>
      <c r="I631">
        <v>1034</v>
      </c>
    </row>
    <row r="632" spans="1:9" x14ac:dyDescent="0.35">
      <c r="A632">
        <v>3556305</v>
      </c>
      <c r="B632" t="s">
        <v>655</v>
      </c>
      <c r="C632">
        <v>1</v>
      </c>
      <c r="D632" t="s">
        <v>29</v>
      </c>
      <c r="E632">
        <v>857.66099999999994</v>
      </c>
      <c r="F632">
        <v>86424.024999999994</v>
      </c>
      <c r="G632">
        <v>15</v>
      </c>
      <c r="H632">
        <v>294600.435</v>
      </c>
      <c r="I632">
        <v>434</v>
      </c>
    </row>
    <row r="633" spans="1:9" x14ac:dyDescent="0.35">
      <c r="A633">
        <v>3556354</v>
      </c>
      <c r="B633" t="s">
        <v>656</v>
      </c>
      <c r="C633">
        <v>4</v>
      </c>
      <c r="D633" t="s">
        <v>14</v>
      </c>
      <c r="E633">
        <v>142.59700000000001</v>
      </c>
      <c r="F633">
        <v>19189.633999999998</v>
      </c>
      <c r="G633">
        <v>10</v>
      </c>
      <c r="H633">
        <v>202550.17499999999</v>
      </c>
      <c r="I633">
        <v>478</v>
      </c>
    </row>
    <row r="634" spans="1:9" x14ac:dyDescent="0.35">
      <c r="A634">
        <v>3556404</v>
      </c>
      <c r="B634" t="s">
        <v>657</v>
      </c>
      <c r="C634">
        <v>4</v>
      </c>
      <c r="D634" t="s">
        <v>14</v>
      </c>
      <c r="E634">
        <v>267.178</v>
      </c>
      <c r="F634">
        <v>19731.085999999999</v>
      </c>
      <c r="G634">
        <v>5</v>
      </c>
      <c r="H634">
        <v>234039.986</v>
      </c>
      <c r="I634">
        <v>583</v>
      </c>
    </row>
    <row r="635" spans="1:9" x14ac:dyDescent="0.35">
      <c r="A635">
        <v>3556453</v>
      </c>
      <c r="B635" t="s">
        <v>658</v>
      </c>
      <c r="C635">
        <v>10</v>
      </c>
      <c r="D635" t="s">
        <v>67</v>
      </c>
      <c r="E635">
        <v>42.488999999999997</v>
      </c>
      <c r="F635">
        <v>12705.341</v>
      </c>
      <c r="G635">
        <v>10</v>
      </c>
      <c r="H635">
        <v>73194.849000000002</v>
      </c>
      <c r="I635">
        <v>561</v>
      </c>
    </row>
    <row r="636" spans="1:9" x14ac:dyDescent="0.35">
      <c r="A636">
        <v>3556503</v>
      </c>
      <c r="B636" t="s">
        <v>659</v>
      </c>
      <c r="C636">
        <v>4</v>
      </c>
      <c r="D636" t="s">
        <v>14</v>
      </c>
      <c r="E636">
        <v>35.119999999999997</v>
      </c>
      <c r="F636">
        <v>18488.302</v>
      </c>
      <c r="G636">
        <v>11</v>
      </c>
      <c r="H636">
        <v>29442.863000000001</v>
      </c>
      <c r="I636">
        <v>210</v>
      </c>
    </row>
    <row r="637" spans="1:9" x14ac:dyDescent="0.35">
      <c r="A637">
        <v>3556602</v>
      </c>
      <c r="B637" t="s">
        <v>660</v>
      </c>
      <c r="C637">
        <v>8</v>
      </c>
      <c r="D637" t="s">
        <v>34</v>
      </c>
      <c r="E637">
        <v>247.71600000000001</v>
      </c>
      <c r="F637">
        <v>17236.918000000001</v>
      </c>
      <c r="G637">
        <v>9</v>
      </c>
      <c r="H637">
        <v>185677.22700000001</v>
      </c>
      <c r="I637">
        <v>419</v>
      </c>
    </row>
    <row r="638" spans="1:9" x14ac:dyDescent="0.35">
      <c r="A638">
        <v>3556701</v>
      </c>
      <c r="B638" t="s">
        <v>661</v>
      </c>
      <c r="C638">
        <v>4</v>
      </c>
      <c r="D638" t="s">
        <v>14</v>
      </c>
      <c r="E638">
        <v>81.603999999999999</v>
      </c>
      <c r="F638">
        <v>32416.605</v>
      </c>
      <c r="G638">
        <v>22</v>
      </c>
      <c r="H638">
        <v>90205.342000000004</v>
      </c>
      <c r="I638">
        <v>601</v>
      </c>
    </row>
    <row r="639" spans="1:9" x14ac:dyDescent="0.35">
      <c r="A639">
        <v>3556800</v>
      </c>
      <c r="B639" t="s">
        <v>662</v>
      </c>
      <c r="C639">
        <v>2</v>
      </c>
      <c r="D639" t="s">
        <v>25</v>
      </c>
      <c r="E639">
        <v>217.726</v>
      </c>
      <c r="F639">
        <v>43023.453999999998</v>
      </c>
      <c r="G639">
        <v>19</v>
      </c>
      <c r="H639">
        <v>140214.42199999999</v>
      </c>
      <c r="I639">
        <v>271</v>
      </c>
    </row>
    <row r="640" spans="1:9" x14ac:dyDescent="0.35">
      <c r="A640">
        <v>3556909</v>
      </c>
      <c r="B640" t="s">
        <v>663</v>
      </c>
      <c r="C640">
        <v>2</v>
      </c>
      <c r="D640" t="s">
        <v>25</v>
      </c>
      <c r="E640">
        <v>95.429000000000002</v>
      </c>
      <c r="F640">
        <v>21637.96</v>
      </c>
      <c r="G640">
        <v>8</v>
      </c>
      <c r="H640">
        <v>108432.795</v>
      </c>
      <c r="I640">
        <v>224</v>
      </c>
    </row>
    <row r="641" spans="1:9" x14ac:dyDescent="0.35">
      <c r="A641">
        <v>3556958</v>
      </c>
      <c r="B641" t="s">
        <v>664</v>
      </c>
      <c r="C641">
        <v>14</v>
      </c>
      <c r="D641" t="s">
        <v>12</v>
      </c>
      <c r="E641">
        <v>49.832000000000001</v>
      </c>
      <c r="F641">
        <v>1243.6980000000001</v>
      </c>
      <c r="G641">
        <v>2</v>
      </c>
      <c r="H641">
        <v>39009.508999999998</v>
      </c>
      <c r="I641">
        <v>59</v>
      </c>
    </row>
    <row r="642" spans="1:9" x14ac:dyDescent="0.35">
      <c r="A642">
        <v>3557006</v>
      </c>
      <c r="B642" t="s">
        <v>665</v>
      </c>
      <c r="C642">
        <v>13</v>
      </c>
      <c r="D642" t="s">
        <v>18</v>
      </c>
      <c r="E642">
        <v>183.517</v>
      </c>
      <c r="F642">
        <v>14999.754999999999</v>
      </c>
      <c r="G642">
        <v>3</v>
      </c>
      <c r="H642">
        <v>126152.601</v>
      </c>
      <c r="I642">
        <v>451</v>
      </c>
    </row>
    <row r="643" spans="1:9" x14ac:dyDescent="0.35">
      <c r="A643">
        <v>3557105</v>
      </c>
      <c r="B643" t="s">
        <v>666</v>
      </c>
      <c r="C643">
        <v>14</v>
      </c>
      <c r="D643" t="s">
        <v>12</v>
      </c>
      <c r="E643">
        <v>420.70299999999997</v>
      </c>
      <c r="F643">
        <v>46073.468999999997</v>
      </c>
      <c r="G643">
        <v>18</v>
      </c>
      <c r="H643">
        <v>315884.73800000001</v>
      </c>
      <c r="I643">
        <v>817</v>
      </c>
    </row>
    <row r="644" spans="1:9" x14ac:dyDescent="0.35">
      <c r="A644">
        <v>3557154</v>
      </c>
      <c r="B644" t="s">
        <v>667</v>
      </c>
      <c r="C644">
        <v>14</v>
      </c>
      <c r="D644" t="s">
        <v>12</v>
      </c>
      <c r="E644">
        <v>319.05599999999998</v>
      </c>
      <c r="F644">
        <v>21225.01</v>
      </c>
      <c r="G644">
        <v>6</v>
      </c>
      <c r="H644">
        <v>177112.95300000001</v>
      </c>
      <c r="I644">
        <v>233</v>
      </c>
    </row>
    <row r="645" spans="1:9" x14ac:dyDescent="0.35">
      <c r="A645">
        <v>3557204</v>
      </c>
      <c r="B645" t="s">
        <v>668</v>
      </c>
      <c r="C645">
        <v>8</v>
      </c>
      <c r="D645" t="s">
        <v>34</v>
      </c>
      <c r="E645">
        <v>188.732</v>
      </c>
      <c r="F645">
        <v>8518.49</v>
      </c>
      <c r="G645">
        <v>8</v>
      </c>
      <c r="H645">
        <v>70698.675000000003</v>
      </c>
      <c r="I645">
        <v>198</v>
      </c>
    </row>
    <row r="646" spans="1:9" x14ac:dyDescent="0.35">
      <c r="A646">
        <v>3557303</v>
      </c>
      <c r="B646" t="s">
        <v>669</v>
      </c>
      <c r="C646">
        <v>4</v>
      </c>
      <c r="D646" t="s">
        <v>14</v>
      </c>
      <c r="E646">
        <v>74.144000000000005</v>
      </c>
      <c r="F646">
        <v>4628.5940000000001</v>
      </c>
      <c r="G646">
        <v>5</v>
      </c>
      <c r="H646">
        <v>77530.517999999996</v>
      </c>
      <c r="I646">
        <v>170</v>
      </c>
    </row>
  </sheetData>
  <conditionalFormatting sqref="T2:T1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{468A4741-B824-4AF6-AAEB-D743CC462ACA}</x14:id>
        </ext>
      </extLst>
    </cfRule>
  </conditionalFormatting>
  <conditionalFormatting sqref="U2:U1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{D7A787DD-4C2A-4341-B67D-A650C44ACE87}</x14:id>
        </ext>
      </extLst>
    </cfRule>
  </conditionalFormatting>
  <conditionalFormatting sqref="W2:W1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{CCAB22E9-124B-4ED1-834F-1E9826BD5747}</x14:id>
        </ext>
      </extLst>
    </cfRule>
  </conditionalFormatting>
  <conditionalFormatting sqref="X2:X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{22EA67B6-E0B9-4869-AAD8-B63F87B4F1A8}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8A4741-B824-4AF6-AAEB-D743CC462A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T2:T18</xm:sqref>
        </x14:conditionalFormatting>
        <x14:conditionalFormatting xmlns:xm="http://schemas.microsoft.com/office/excel/2006/main">
          <x14:cfRule type="dataBar" id="{D7A787DD-4C2A-4341-B67D-A650C44ACE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U2:U18</xm:sqref>
        </x14:conditionalFormatting>
        <x14:conditionalFormatting xmlns:xm="http://schemas.microsoft.com/office/excel/2006/main">
          <x14:cfRule type="dataBar" id="{CCAB22E9-124B-4ED1-834F-1E9826BD57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W2:W18</xm:sqref>
        </x14:conditionalFormatting>
        <x14:conditionalFormatting xmlns:xm="http://schemas.microsoft.com/office/excel/2006/main">
          <x14:cfRule type="dataBar" id="{22EA67B6-E0B9-4869-AAD8-B63F87B4F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X2:X18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afedda-61ad-4c14-90ec-04d5269781d2" xsi:nil="true"/>
    <lcf76f155ced4ddcb4097134ff3c332f xmlns="513e6fff-145f-4a6c-b7ce-e8193f21dc3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5A67AC1F71D14092B93F6955A20FE4" ma:contentTypeVersion="12" ma:contentTypeDescription="Crie um novo documento." ma:contentTypeScope="" ma:versionID="1b95c3c08bd095e64592d20b77a78a4c">
  <xsd:schema xmlns:xsd="http://www.w3.org/2001/XMLSchema" xmlns:xs="http://www.w3.org/2001/XMLSchema" xmlns:p="http://schemas.microsoft.com/office/2006/metadata/properties" xmlns:ns2="513e6fff-145f-4a6c-b7ce-e8193f21dc34" xmlns:ns3="47afedda-61ad-4c14-90ec-04d5269781d2" targetNamespace="http://schemas.microsoft.com/office/2006/metadata/properties" ma:root="true" ma:fieldsID="31576b35384dbac0e33ae0ace63e2be4" ns2:_="" ns3:_="">
    <xsd:import namespace="513e6fff-145f-4a6c-b7ce-e8193f21dc34"/>
    <xsd:import namespace="47afedda-61ad-4c14-90ec-04d5269781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e6fff-145f-4a6c-b7ce-e8193f21dc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51dc94c-0238-4bb6-afb4-b31636741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fedda-61ad-4c14-90ec-04d5269781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d77d6a-65da-45c3-b1fb-d110223c9dc1}" ma:internalName="TaxCatchAll" ma:showField="CatchAllData" ma:web="47afedda-61ad-4c14-90ec-04d526978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6B859F-A6FE-4FF4-A013-0472583C4106}">
  <ds:schemaRefs>
    <ds:schemaRef ds:uri="http://schemas.microsoft.com/office/2006/metadata/properties"/>
    <ds:schemaRef ds:uri="http://schemas.microsoft.com/office/infopath/2007/PartnerControls"/>
    <ds:schemaRef ds:uri="47afedda-61ad-4c14-90ec-04d5269781d2"/>
    <ds:schemaRef ds:uri="513e6fff-145f-4a6c-b7ce-e8193f21dc34"/>
  </ds:schemaRefs>
</ds:datastoreItem>
</file>

<file path=customXml/itemProps2.xml><?xml version="1.0" encoding="utf-8"?>
<ds:datastoreItem xmlns:ds="http://schemas.openxmlformats.org/officeDocument/2006/customXml" ds:itemID="{02D27CCF-C1D7-4460-9841-DBBC7BA36F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211C42-81DD-4BAE-A834-81E7E9FF6F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3e6fff-145f-4a6c-b7ce-e8193f21dc34"/>
    <ds:schemaRef ds:uri="47afedda-61ad-4c14-90ec-04d5269781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DER_vs_OSM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 DO PRADO CAPANEMA</cp:lastModifiedBy>
  <dcterms:created xsi:type="dcterms:W3CDTF">2026-01-19T01:52:31Z</dcterms:created>
  <dcterms:modified xsi:type="dcterms:W3CDTF">2026-01-21T04:20:31Z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0x010100065A67AC1F71D14092B93F6955A20FE4</vt:lpwstr>
  </property>
</Properties>
</file>